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<sst xmlns="http://schemas.openxmlformats.org/spreadsheetml/2006/main" count="43" uniqueCount="43">
  <si>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</si>
  <si>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</si>
  <si>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</si>
  <si>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</si>
  <si>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</si>
  <si>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</si>
  <si>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</si>
  <si>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</si>
  <si>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</si>
  <si>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</si>
  <si>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Maria 01</t>
  </si>
  <si>
    <t>Customer Information</t>
  </si>
  <si>
    <t>Name:</t>
  </si>
  <si>
    <t>Maria Mergal</t>
  </si>
  <si>
    <t>Phone:</t>
  </si>
  <si>
    <t>Address:</t>
  </si>
  <si>
    <t>3551 plainview dr</t>
  </si>
  <si>
    <t>Cell:</t>
  </si>
  <si>
    <t>City, St. Zip:</t>
  </si>
  <si>
    <t>Orlando FL 32824</t>
  </si>
  <si>
    <t>Email:</t>
  </si>
  <si>
    <t>Description( labor only)</t>
  </si>
  <si>
    <t>Qty</t>
  </si>
  <si>
    <t>Price</t>
  </si>
  <si>
    <t>Amount</t>
  </si>
  <si>
    <t xml:space="preserve">demo bathrooms </t>
  </si>
  <si>
    <t>demo carpet disposal not included</t>
  </si>
  <si>
    <t>basic installation wood floating second floor</t>
  </si>
  <si>
    <t>demo stairs</t>
  </si>
  <si>
    <t>steps install cut / mosaic  wood floating</t>
  </si>
  <si>
    <t>bathroom  wall mosaic</t>
  </si>
  <si>
    <t>lanai up to 24x24</t>
  </si>
  <si>
    <t>floor prep***( if necessary) grinder @60/ hour and apply self level $45/bag ( labor only)</t>
  </si>
  <si>
    <t xml:space="preserve">trash disposal not included </t>
  </si>
  <si>
    <t>baseboard</t>
  </si>
  <si>
    <t>Subtotal</t>
  </si>
  <si>
    <t>paid check 187</t>
  </si>
  <si>
    <t>final amount</t>
  </si>
  <si>
    <t>Terms: 50% due first day of the job 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</si>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</sst>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3" fontId="3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3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44215.0</v>
      </c>
    </row>
    <row r="3">
      <c r="A3" s="3" t="s">
        <v>4</v>
      </c>
      <c r="F3" s="4" t="s">
        <v>5</v>
      </c>
      <c r="H3" s="3">
        <v>2101.0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0.0</v>
      </c>
      <c r="G15" s="28">
        <v>2.5</v>
      </c>
      <c r="H15" s="29">
        <f t="shared" ref="H15:H20" si="1">G15*F15</f>
        <v>0</v>
      </c>
      <c r="I15" s="11"/>
    </row>
    <row r="16" ht="15.0" customHeight="1">
      <c r="A16" s="30" t="s">
        <v>26</v>
      </c>
      <c r="E16" s="20"/>
      <c r="F16" s="31">
        <v>687.0</v>
      </c>
      <c r="G16" s="31">
        <v>0.5</v>
      </c>
      <c r="H16" s="32">
        <f t="shared" si="1"/>
        <v>343.5</v>
      </c>
      <c r="I16" s="11"/>
    </row>
    <row r="17" ht="15.0" customHeight="1">
      <c r="A17" s="30" t="s">
        <v>27</v>
      </c>
      <c r="E17" s="20"/>
      <c r="F17" s="31">
        <v>687.0</v>
      </c>
      <c r="G17" s="31">
        <v>2.5</v>
      </c>
      <c r="H17" s="32">
        <f t="shared" si="1"/>
        <v>1717.5</v>
      </c>
      <c r="I17" s="11"/>
    </row>
    <row r="18" ht="15.0" customHeight="1">
      <c r="A18" s="30" t="s">
        <v>28</v>
      </c>
      <c r="E18" s="20"/>
      <c r="F18" s="31">
        <v>1.0</v>
      </c>
      <c r="G18" s="31">
        <v>120.0</v>
      </c>
      <c r="H18" s="32">
        <f t="shared" si="1"/>
        <v>120</v>
      </c>
      <c r="I18" s="11"/>
    </row>
    <row r="19" ht="15.0" customHeight="1">
      <c r="A19" s="30" t="s">
        <v>29</v>
      </c>
      <c r="E19" s="20"/>
      <c r="F19" s="31">
        <v>18.0</v>
      </c>
      <c r="G19" s="31">
        <v>75.0</v>
      </c>
      <c r="H19" s="31">
        <f t="shared" si="1"/>
        <v>1350</v>
      </c>
      <c r="I19" s="11"/>
    </row>
    <row r="20" ht="15.0" customHeight="1">
      <c r="A20" s="30" t="s">
        <v>30</v>
      </c>
      <c r="E20" s="20"/>
      <c r="F20" s="31">
        <v>0.0</v>
      </c>
      <c r="G20" s="31">
        <v>14.0</v>
      </c>
      <c r="H20" s="31">
        <f t="shared" si="1"/>
        <v>0</v>
      </c>
      <c r="I20" s="11"/>
    </row>
    <row r="21" ht="15.0" customHeight="1">
      <c r="A21" s="30" t="s">
        <v>31</v>
      </c>
      <c r="E21" s="20"/>
      <c r="F21" s="31">
        <v>0.0</v>
      </c>
      <c r="G21" s="31">
        <v>3.7</v>
      </c>
      <c r="H21" s="31">
        <f>F21*G21</f>
        <v>0</v>
      </c>
      <c r="I21" s="11"/>
    </row>
    <row r="22" ht="15.0" customHeight="1">
      <c r="A22" s="30" t="s">
        <v>32</v>
      </c>
      <c r="E22" s="20"/>
      <c r="F22" s="31"/>
      <c r="G22" s="31"/>
      <c r="H22" s="33"/>
      <c r="I22" s="11"/>
    </row>
    <row r="23" ht="15.0" customHeight="1">
      <c r="A23" s="30" t="s">
        <v>33</v>
      </c>
      <c r="E23" s="20"/>
      <c r="F23" s="31"/>
      <c r="G23" s="31"/>
      <c r="H23" s="33"/>
      <c r="I23" s="11"/>
    </row>
    <row r="24" ht="15.0" customHeight="1">
      <c r="A24" s="30" t="s">
        <v>34</v>
      </c>
      <c r="E24" s="20"/>
      <c r="F24" s="31"/>
      <c r="G24" s="31"/>
      <c r="H24" s="33">
        <v>550.0</v>
      </c>
      <c r="I24" s="11"/>
    </row>
    <row r="25" ht="15.0" customHeight="1">
      <c r="A25" s="30"/>
      <c r="E25" s="20"/>
      <c r="F25" s="34" t="s">
        <v>35</v>
      </c>
      <c r="G25" s="10"/>
      <c r="H25" s="35">
        <f>H17+H16+H15+H18+H19+H20+H21+H24</f>
        <v>4081</v>
      </c>
      <c r="I25" s="11"/>
    </row>
    <row r="26" ht="15.0" customHeight="1">
      <c r="A26" s="36"/>
      <c r="B26" s="7"/>
      <c r="C26" s="7"/>
      <c r="D26" s="7"/>
      <c r="E26" s="24"/>
      <c r="F26" s="37" t="s">
        <v>36</v>
      </c>
      <c r="G26" s="38"/>
      <c r="H26" s="39">
        <v>1765.5</v>
      </c>
      <c r="I26" s="11"/>
    </row>
    <row r="27">
      <c r="A27" s="14"/>
      <c r="B27" s="14"/>
      <c r="C27" s="14"/>
      <c r="D27" s="16"/>
      <c r="E27" s="40" t="s">
        <v>37</v>
      </c>
      <c r="F27" s="9"/>
      <c r="G27" s="41"/>
      <c r="H27" s="42">
        <f>H25-H26</f>
        <v>2315.5</v>
      </c>
      <c r="I27" s="11"/>
    </row>
    <row r="28">
      <c r="E28" s="14"/>
      <c r="F28" s="14"/>
      <c r="G28" s="14"/>
      <c r="H28" s="14"/>
    </row>
    <row r="29">
      <c r="A29" s="3" t="s">
        <v>38</v>
      </c>
    </row>
    <row r="30">
      <c r="A30" s="3" t="s">
        <v>39</v>
      </c>
    </row>
    <row r="31">
      <c r="A31" s="3" t="s">
        <v>40</v>
      </c>
    </row>
    <row r="33">
      <c r="A33" s="43" t="s">
        <v>41</v>
      </c>
    </row>
    <row r="34">
      <c r="A34" s="44" t="s">
        <v>42</v>
      </c>
    </row>
    <row r="35">
      <c r="A35" s="45"/>
    </row>
  </sheetData>
  <mergeCells count="3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6:E26"/>
    <mergeCell ref="E27:F27"/>
    <mergeCell ref="A29:E29"/>
    <mergeCell ref="A30:E30"/>
    <mergeCell ref="A31:E31"/>
    <mergeCell ref="A33:H33"/>
    <mergeCell ref="A34:H34"/>
    <mergeCell ref="A35:G35"/>
    <mergeCell ref="A20:E20"/>
    <mergeCell ref="A21:E21"/>
    <mergeCell ref="A22:E22"/>
    <mergeCell ref="A23:E23"/>
    <mergeCell ref="A24:E24"/>
    <mergeCell ref="A25:E25"/>
    <mergeCell ref="F25:G25"/>
  </mergeCells>
  <drawing r:id="rId1"/>
</worksheet>
</file>