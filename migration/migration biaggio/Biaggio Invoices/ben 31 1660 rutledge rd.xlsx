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<sst xmlns="http://schemas.openxmlformats.org/spreadsheetml/2006/main" count="55" uniqueCount="53">
  <si>
    <t>Biaggio Flooring LLC</t>
  </si>
  <si>
    <t>invoice</t>
  </si>
  <si>
    <t>2314 Lake Debra dr #2314</t>
  </si>
  <si>
    <t>DATE:</t>
  </si>
  <si>
    <t>Orlando Fl 32835</t>
  </si>
  <si>
    <t>invoice #:</t>
  </si>
  <si>
    <t>Phone: 321-6821090</t>
  </si>
  <si>
    <t>Representative:</t>
  </si>
  <si>
    <t>Terms:</t>
  </si>
  <si>
    <t>Project ID:</t>
  </si>
  <si>
    <t>ben 31</t>
  </si>
  <si>
    <t>Customer Information</t>
  </si>
  <si>
    <t>Name:</t>
  </si>
  <si>
    <t>Ben</t>
  </si>
  <si>
    <t>Phone:</t>
  </si>
  <si>
    <t>Address:</t>
  </si>
  <si>
    <t>1660 Rutledge rd</t>
  </si>
  <si>
    <t>Cell:</t>
  </si>
  <si>
    <t>City, St. Zip:</t>
  </si>
  <si>
    <t>Email:</t>
  </si>
  <si>
    <t>Description**</t>
  </si>
  <si>
    <t>Qty</t>
  </si>
  <si>
    <t>Price</t>
  </si>
  <si>
    <t>Amount</t>
  </si>
  <si>
    <t>woodlook tile 8x48 large format  Installation Only</t>
  </si>
  <si>
    <t>Master( wall may need prep)</t>
  </si>
  <si>
    <t>showerfloor( mortar bed , installing)  12x24</t>
  </si>
  <si>
    <t>walls 12x24( cement board not )included</t>
  </si>
  <si>
    <t>niche ( big)</t>
  </si>
  <si>
    <t xml:space="preserve">walking shower </t>
  </si>
  <si>
    <t>wall 4x12 herringbone</t>
  </si>
  <si>
    <t>Bathroom floor</t>
  </si>
  <si>
    <t xml:space="preserve"> guest bathroom </t>
  </si>
  <si>
    <t xml:space="preserve">walls  bathroons wall (up to 24x24) installation Only </t>
  </si>
  <si>
    <t>niche</t>
  </si>
  <si>
    <t>shower pan ( mortar bed)</t>
  </si>
  <si>
    <t>textured wall</t>
  </si>
  <si>
    <t xml:space="preserve"> price Add**( if necessary)</t>
  </si>
  <si>
    <t>cement board $2.75 if needed</t>
  </si>
  <si>
    <t>floor prep**</t>
  </si>
  <si>
    <t>$70/ hour</t>
  </si>
  <si>
    <t>$40/selflevel</t>
  </si>
  <si>
    <t>clip</t>
  </si>
  <si>
    <t>p</t>
  </si>
  <si>
    <t>discount ben house</t>
  </si>
  <si>
    <t>total</t>
  </si>
  <si>
    <t>Please pay 10/11/23</t>
  </si>
  <si>
    <t xml:space="preserve">remaining balance 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</si>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</sst>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</font>
    <font>
      <b/>
      <sz val="14.0"/>
    </font>
    <font>
      <b/>
      <sz val="12.0"/>
    </font>
    <font>
      <b/>
      <sz val="18.0"/>
    </font>
    <font>
      <b/>
      <sz val="9.0"/>
    </font>
    <font>
      <strike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6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shrinkToFit="0" wrapText="1"/>
    </xf>
    <xf borderId="14" fillId="0" fontId="7" numFmtId="0" xfId="0" applyAlignment="1" applyBorder="1" applyFont="1">
      <alignment readingOrder="0" shrinkToFit="0" wrapText="1"/>
    </xf>
    <xf borderId="5" fillId="0" fontId="7" numFmtId="0" xfId="0" applyAlignment="1" applyBorder="1" applyFont="1">
      <alignment readingOrder="0" shrinkToFit="0" wrapText="1"/>
    </xf>
    <xf borderId="9" fillId="0" fontId="3" numFmtId="0" xfId="0" applyAlignment="1" applyBorder="1" applyFont="1">
      <alignment readingOrder="0" shrinkToFit="0" wrapText="1"/>
    </xf>
    <xf borderId="5" fillId="0" fontId="8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readingOrder="0" shrinkToFit="0" wrapText="1"/>
    </xf>
    <xf borderId="10" fillId="0" fontId="9" numFmtId="0" xfId="0" applyAlignment="1" applyBorder="1" applyFont="1">
      <alignment readingOrder="0" shrinkToFit="0" wrapText="1"/>
    </xf>
    <xf borderId="2" fillId="0" fontId="9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readingOrder="0" shrinkToFit="0" wrapText="1"/>
    </xf>
    <xf borderId="0" fillId="0" fontId="10" numFmtId="0" xfId="0" applyAlignment="1" applyFont="1">
      <alignment shrinkToFit="0" wrapText="1"/>
    </xf>
    <xf borderId="9" fillId="0" fontId="10" numFmtId="0" xfId="0" applyAlignment="1" applyBorder="1" applyFont="1">
      <alignment shrinkToFit="0" wrapText="1"/>
    </xf>
    <xf borderId="10" fillId="3" fontId="10" numFmtId="0" xfId="0" applyAlignment="1" applyBorder="1" applyFill="1" applyFont="1">
      <alignment readingOrder="0" shrinkToFit="0" wrapText="1"/>
    </xf>
    <xf borderId="2" fillId="3" fontId="10" numFmtId="0" xfId="0" applyAlignment="1" applyBorder="1" applyFont="1">
      <alignment readingOrder="0" shrinkToFit="0" wrapText="1"/>
    </xf>
    <xf borderId="3" fillId="3" fontId="10" numFmtId="0" xfId="0" applyAlignment="1" applyBorder="1" applyFont="1">
      <alignment shrinkToFit="0" wrapText="1"/>
    </xf>
    <xf borderId="11" fillId="3" fontId="10" numFmtId="0" xfId="0" applyAlignment="1" applyBorder="1" applyFont="1">
      <alignment readingOrder="0" shrinkToFit="0" vertical="bottom" wrapText="1"/>
    </xf>
    <xf borderId="5" fillId="0" fontId="10" numFmtId="0" xfId="0" applyAlignment="1" applyBorder="1" applyFont="1">
      <alignment shrinkToFit="0" wrapText="1"/>
    </xf>
    <xf borderId="7" fillId="0" fontId="11" numFmtId="0" xfId="0" applyAlignment="1" applyBorder="1" applyFont="1">
      <alignment shrinkToFit="0" wrapText="1"/>
    </xf>
    <xf borderId="8" fillId="0" fontId="11" numFmtId="0" xfId="0" applyAlignment="1" applyBorder="1" applyFont="1">
      <alignment shrinkToFit="0" wrapText="1"/>
    </xf>
    <xf borderId="2" fillId="0" fontId="11" numFmtId="0" xfId="0" applyAlignment="1" applyBorder="1" applyFont="1">
      <alignment readingOrder="0" shrinkToFit="0" wrapText="1"/>
    </xf>
    <xf borderId="3" fillId="0" fontId="11" numFmtId="0" xfId="0" applyAlignment="1" applyBorder="1" applyFont="1">
      <alignment shrinkToFit="0" wrapText="1"/>
    </xf>
    <xf borderId="4" fillId="0" fontId="11" numFmtId="0" xfId="0" applyAlignment="1" applyBorder="1" applyFont="1">
      <alignment readingOrder="0" shrinkToFit="0" wrapText="1"/>
    </xf>
    <xf borderId="5" fillId="0" fontId="11" numFmtId="0" xfId="0" applyAlignment="1" applyBorder="1" applyFont="1">
      <alignment shrinkToFit="0" wrapText="1"/>
    </xf>
    <xf borderId="0" fillId="0" fontId="11" numFmtId="0" xfId="0" applyAlignment="1" applyFont="1">
      <alignment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  <xf borderId="0" fillId="0" fontId="1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45161.0</v>
      </c>
    </row>
    <row r="3">
      <c r="A3" s="3" t="s">
        <v>4</v>
      </c>
      <c r="F3" s="6" t="s">
        <v>5</v>
      </c>
      <c r="H3" s="3">
        <v>2386.0</v>
      </c>
    </row>
    <row r="4">
      <c r="A4" s="3" t="s">
        <v>6</v>
      </c>
      <c r="F4" s="7" t="s">
        <v>7</v>
      </c>
    </row>
    <row r="5">
      <c r="G5" s="7" t="s">
        <v>8</v>
      </c>
    </row>
    <row r="6">
      <c r="F6" s="7" t="s">
        <v>9</v>
      </c>
      <c r="H6" s="3" t="s">
        <v>10</v>
      </c>
    </row>
    <row r="8">
      <c r="A8" s="8"/>
      <c r="B8" s="8"/>
      <c r="C8" s="8"/>
      <c r="D8" s="8"/>
      <c r="E8" s="8"/>
      <c r="F8" s="8"/>
      <c r="G8" s="8"/>
      <c r="H8" s="8"/>
    </row>
    <row r="9">
      <c r="A9" s="9" t="s">
        <v>11</v>
      </c>
      <c r="B9" s="10"/>
      <c r="C9" s="10"/>
      <c r="D9" s="10"/>
      <c r="E9" s="10"/>
      <c r="F9" s="10"/>
      <c r="G9" s="10"/>
      <c r="H9" s="11"/>
      <c r="I9" s="12"/>
    </row>
    <row r="10">
      <c r="A10" s="13" t="s">
        <v>12</v>
      </c>
      <c r="B10" s="14" t="s">
        <v>13</v>
      </c>
      <c r="C10" s="15"/>
      <c r="D10" s="15"/>
      <c r="E10" s="15"/>
      <c r="F10" s="16" t="s">
        <v>14</v>
      </c>
      <c r="G10" s="15"/>
      <c r="H10" s="17"/>
      <c r="I10" s="12"/>
    </row>
    <row r="11">
      <c r="A11" s="18" t="s">
        <v>15</v>
      </c>
      <c r="B11" s="3" t="s">
        <v>16</v>
      </c>
      <c r="F11" s="19" t="s">
        <v>17</v>
      </c>
      <c r="G11" s="20"/>
      <c r="H11" s="21"/>
      <c r="I11" s="12"/>
    </row>
    <row r="12">
      <c r="A12" s="22" t="s">
        <v>18</v>
      </c>
      <c r="B12" s="23"/>
      <c r="C12" s="8"/>
      <c r="D12" s="8"/>
      <c r="E12" s="8"/>
      <c r="F12" s="24" t="s">
        <v>19</v>
      </c>
      <c r="G12" s="8"/>
      <c r="H12" s="25"/>
      <c r="I12" s="12"/>
    </row>
    <row r="13">
      <c r="A13" s="10"/>
      <c r="B13" s="10"/>
      <c r="C13" s="10"/>
      <c r="D13" s="10"/>
      <c r="E13" s="10"/>
      <c r="F13" s="10"/>
      <c r="G13" s="10"/>
      <c r="H13" s="10"/>
    </row>
    <row r="14">
      <c r="A14" s="26" t="s">
        <v>20</v>
      </c>
      <c r="B14" s="10"/>
      <c r="C14" s="10"/>
      <c r="D14" s="10"/>
      <c r="E14" s="10"/>
      <c r="F14" s="27" t="s">
        <v>21</v>
      </c>
      <c r="G14" s="27" t="s">
        <v>22</v>
      </c>
      <c r="H14" s="27" t="s">
        <v>23</v>
      </c>
      <c r="I14" s="12"/>
    </row>
    <row r="15" ht="15.0" customHeight="1">
      <c r="A15" s="28" t="s">
        <v>24</v>
      </c>
      <c r="B15" s="15"/>
      <c r="C15" s="15"/>
      <c r="D15" s="15"/>
      <c r="E15" s="17"/>
      <c r="F15" s="29">
        <v>2200.0</v>
      </c>
      <c r="G15" s="29">
        <v>3.95</v>
      </c>
      <c r="H15" s="30">
        <f>G15*F15</f>
        <v>8690</v>
      </c>
      <c r="I15" s="12"/>
    </row>
    <row r="16" ht="15.0" customHeight="1">
      <c r="A16" s="31" t="s">
        <v>25</v>
      </c>
      <c r="E16" s="21"/>
      <c r="F16" s="32"/>
      <c r="G16" s="32"/>
      <c r="H16" s="33"/>
      <c r="I16" s="12"/>
    </row>
    <row r="17" ht="15.0" customHeight="1">
      <c r="A17" s="31" t="s">
        <v>26</v>
      </c>
      <c r="E17" s="21"/>
      <c r="F17" s="32">
        <v>24.0</v>
      </c>
      <c r="G17" s="32">
        <v>30.0</v>
      </c>
      <c r="H17" s="32">
        <f t="shared" ref="H17:H19" si="1">G17*F17</f>
        <v>720</v>
      </c>
      <c r="I17" s="12"/>
    </row>
    <row r="18" ht="15.0" customHeight="1">
      <c r="A18" s="31" t="s">
        <v>27</v>
      </c>
      <c r="E18" s="21"/>
      <c r="F18" s="34">
        <v>100.0</v>
      </c>
      <c r="G18" s="32">
        <v>12.0</v>
      </c>
      <c r="H18" s="32">
        <f t="shared" si="1"/>
        <v>1200</v>
      </c>
      <c r="I18" s="12"/>
    </row>
    <row r="19" ht="15.0" customHeight="1">
      <c r="A19" s="31" t="s">
        <v>28</v>
      </c>
      <c r="E19" s="21"/>
      <c r="F19" s="32">
        <v>2.0</v>
      </c>
      <c r="G19" s="32">
        <v>120.0</v>
      </c>
      <c r="H19" s="32">
        <f t="shared" si="1"/>
        <v>240</v>
      </c>
      <c r="I19" s="12"/>
    </row>
    <row r="20" ht="15.0" customHeight="1">
      <c r="A20" s="31" t="s">
        <v>29</v>
      </c>
      <c r="E20" s="21"/>
      <c r="F20" s="32">
        <v>1.0</v>
      </c>
      <c r="G20" s="32">
        <v>100.0</v>
      </c>
      <c r="H20" s="33">
        <f>F20*G20</f>
        <v>100</v>
      </c>
      <c r="I20" s="12"/>
    </row>
    <row r="21" ht="15.0" customHeight="1">
      <c r="A21" s="31" t="s">
        <v>30</v>
      </c>
      <c r="E21" s="21"/>
      <c r="F21" s="32">
        <v>40.0</v>
      </c>
      <c r="G21" s="32">
        <v>13.0</v>
      </c>
      <c r="H21" s="32">
        <f t="shared" ref="H21:H23" si="2">G21*F21</f>
        <v>520</v>
      </c>
      <c r="I21" s="12"/>
    </row>
    <row r="22" ht="15.0" customHeight="1">
      <c r="A22" s="31" t="s">
        <v>31</v>
      </c>
      <c r="E22" s="21"/>
      <c r="F22" s="32">
        <v>126.0</v>
      </c>
      <c r="G22" s="32">
        <v>3.5</v>
      </c>
      <c r="H22" s="32">
        <f t="shared" si="2"/>
        <v>441</v>
      </c>
      <c r="I22" s="12"/>
    </row>
    <row r="23" ht="15.0" customHeight="1">
      <c r="A23" s="31"/>
      <c r="E23" s="21"/>
      <c r="F23" s="32"/>
      <c r="G23" s="32"/>
      <c r="H23" s="32">
        <f t="shared" si="2"/>
        <v>0</v>
      </c>
      <c r="I23" s="12"/>
    </row>
    <row r="24" ht="15.0" customHeight="1">
      <c r="A24" s="31"/>
      <c r="E24" s="21"/>
      <c r="F24" s="32"/>
      <c r="G24" s="32"/>
      <c r="H24" s="32"/>
      <c r="I24" s="12"/>
    </row>
    <row r="25" ht="15.0" customHeight="1">
      <c r="A25" s="31" t="s">
        <v>32</v>
      </c>
      <c r="E25" s="21"/>
      <c r="F25" s="32"/>
      <c r="G25" s="32"/>
      <c r="H25" s="32"/>
      <c r="I25" s="12"/>
    </row>
    <row r="26" ht="15.0" customHeight="1">
      <c r="A26" s="31" t="s">
        <v>31</v>
      </c>
      <c r="E26" s="21"/>
      <c r="F26" s="32">
        <v>30.0</v>
      </c>
      <c r="G26" s="32">
        <v>3.5</v>
      </c>
      <c r="H26" s="32">
        <f t="shared" ref="H26:H34" si="3">G26*F26</f>
        <v>105</v>
      </c>
      <c r="I26" s="12"/>
    </row>
    <row r="27" ht="15.0" customHeight="1">
      <c r="A27" s="31" t="s">
        <v>33</v>
      </c>
      <c r="E27" s="21"/>
      <c r="F27" s="32">
        <v>50.0</v>
      </c>
      <c r="G27" s="32">
        <v>12.0</v>
      </c>
      <c r="H27" s="33">
        <f t="shared" si="3"/>
        <v>600</v>
      </c>
      <c r="I27" s="12"/>
    </row>
    <row r="28" ht="15.0" customHeight="1">
      <c r="A28" s="31" t="s">
        <v>34</v>
      </c>
      <c r="E28" s="21"/>
      <c r="F28" s="32">
        <v>2.0</v>
      </c>
      <c r="G28" s="32">
        <v>120.0</v>
      </c>
      <c r="H28" s="33">
        <f t="shared" si="3"/>
        <v>240</v>
      </c>
      <c r="I28" s="12"/>
    </row>
    <row r="29" ht="15.0" customHeight="1">
      <c r="A29" s="31" t="s">
        <v>35</v>
      </c>
      <c r="E29" s="21"/>
      <c r="F29" s="32">
        <v>15.0</v>
      </c>
      <c r="G29" s="32">
        <v>30.0</v>
      </c>
      <c r="H29" s="32">
        <f t="shared" si="3"/>
        <v>450</v>
      </c>
      <c r="I29" s="12"/>
    </row>
    <row r="30" ht="15.0" customHeight="1">
      <c r="A30" s="31" t="s">
        <v>36</v>
      </c>
      <c r="E30" s="21"/>
      <c r="F30" s="32">
        <v>40.0</v>
      </c>
      <c r="G30" s="32">
        <v>13.0</v>
      </c>
      <c r="H30" s="33">
        <f t="shared" si="3"/>
        <v>520</v>
      </c>
      <c r="I30" s="12"/>
    </row>
    <row r="31" ht="15.0" customHeight="1">
      <c r="A31" s="31" t="s">
        <v>29</v>
      </c>
      <c r="E31" s="21"/>
      <c r="F31" s="32">
        <v>1.0</v>
      </c>
      <c r="G31" s="32">
        <v>100.0</v>
      </c>
      <c r="H31" s="32">
        <f t="shared" si="3"/>
        <v>100</v>
      </c>
      <c r="I31" s="12"/>
    </row>
    <row r="32" ht="15.0" customHeight="1">
      <c r="A32" s="31"/>
      <c r="E32" s="21"/>
      <c r="F32" s="32"/>
      <c r="G32" s="32"/>
      <c r="H32" s="33">
        <f t="shared" si="3"/>
        <v>0</v>
      </c>
      <c r="I32" s="12"/>
    </row>
    <row r="33" ht="15.0" customHeight="1">
      <c r="A33" s="31"/>
      <c r="E33" s="21"/>
      <c r="F33" s="32"/>
      <c r="G33" s="32"/>
      <c r="H33" s="33">
        <f t="shared" si="3"/>
        <v>0</v>
      </c>
      <c r="I33" s="12"/>
    </row>
    <row r="34" ht="15.0" customHeight="1">
      <c r="A34" s="31" t="s">
        <v>37</v>
      </c>
      <c r="E34" s="21"/>
      <c r="F34" s="32"/>
      <c r="G34" s="32"/>
      <c r="H34" s="33">
        <f t="shared" si="3"/>
        <v>0</v>
      </c>
      <c r="I34" s="12"/>
    </row>
    <row r="35" ht="15.0" customHeight="1">
      <c r="A35" s="31" t="s">
        <v>38</v>
      </c>
      <c r="E35" s="21"/>
      <c r="F35" s="32"/>
      <c r="G35" s="32"/>
      <c r="H35" s="33"/>
      <c r="I35" s="12"/>
    </row>
    <row r="36" ht="15.0" customHeight="1">
      <c r="A36" s="31" t="s">
        <v>39</v>
      </c>
      <c r="E36" s="21"/>
      <c r="F36" s="32"/>
      <c r="G36" s="32"/>
      <c r="H36" s="32"/>
      <c r="I36" s="12"/>
    </row>
    <row r="37" ht="15.0" customHeight="1">
      <c r="A37" s="31" t="s">
        <v>40</v>
      </c>
      <c r="E37" s="21"/>
      <c r="F37" s="32"/>
      <c r="G37" s="32"/>
      <c r="H37" s="33"/>
      <c r="I37" s="12"/>
    </row>
    <row r="38" ht="15.0" customHeight="1">
      <c r="A38" s="31" t="s">
        <v>41</v>
      </c>
      <c r="E38" s="21"/>
      <c r="F38" s="32"/>
      <c r="G38" s="32"/>
      <c r="H38" s="33"/>
      <c r="I38" s="12"/>
    </row>
    <row r="39" ht="15.0" customHeight="1">
      <c r="A39" s="31" t="s">
        <v>42</v>
      </c>
      <c r="E39" s="21"/>
      <c r="F39" s="32">
        <v>2.0</v>
      </c>
      <c r="G39" s="32">
        <v>127.0</v>
      </c>
      <c r="H39" s="33">
        <f t="shared" ref="H39:H41" si="4">G39*F39</f>
        <v>254</v>
      </c>
      <c r="I39" s="12"/>
    </row>
    <row r="40" ht="15.0" customHeight="1">
      <c r="A40" s="35"/>
      <c r="E40" s="21"/>
      <c r="F40" s="36"/>
      <c r="G40" s="36"/>
      <c r="H40" s="21">
        <f t="shared" si="4"/>
        <v>0</v>
      </c>
      <c r="I40" s="12"/>
    </row>
    <row r="41" ht="15.0" customHeight="1">
      <c r="A41" s="31"/>
      <c r="E41" s="21"/>
      <c r="F41" s="36"/>
      <c r="G41" s="36"/>
      <c r="H41" s="21">
        <f t="shared" si="4"/>
        <v>0</v>
      </c>
      <c r="I41" s="12"/>
    </row>
    <row r="42" ht="15.0" customHeight="1">
      <c r="A42" s="31"/>
      <c r="E42" s="21"/>
      <c r="F42" s="36"/>
      <c r="G42" s="36"/>
      <c r="H42" s="21"/>
      <c r="I42" s="12"/>
    </row>
    <row r="43" ht="15.0" customHeight="1">
      <c r="A43" s="31" t="s">
        <v>43</v>
      </c>
      <c r="E43" s="21"/>
      <c r="F43" s="36"/>
      <c r="G43" s="36"/>
      <c r="H43" s="21">
        <f>G43*F43</f>
        <v>0</v>
      </c>
      <c r="I43" s="12"/>
    </row>
    <row r="44" ht="15.0" customHeight="1">
      <c r="A44" s="31" t="s">
        <v>44</v>
      </c>
      <c r="E44" s="21"/>
      <c r="F44" s="36"/>
      <c r="G44" s="36"/>
      <c r="H44" s="36">
        <v>-1000.0</v>
      </c>
      <c r="I44" s="12"/>
    </row>
    <row r="45" ht="15.0" customHeight="1">
      <c r="A45" s="37"/>
      <c r="E45" s="21"/>
      <c r="F45" s="36"/>
      <c r="G45" s="36"/>
      <c r="H45" s="21"/>
      <c r="I45" s="12"/>
    </row>
    <row r="46" ht="15.0" customHeight="1">
      <c r="A46" s="38"/>
      <c r="B46" s="8"/>
      <c r="C46" s="8"/>
      <c r="D46" s="8"/>
      <c r="E46" s="25"/>
      <c r="F46" s="39" t="s">
        <v>45</v>
      </c>
      <c r="G46" s="11"/>
      <c r="H46" s="40">
        <f>H15+H17+H18+H19+H20+H21+H22+H26+H27+H28+H29+H30+H31+H39+H44</f>
        <v>13180</v>
      </c>
      <c r="I46" s="12"/>
    </row>
    <row r="47">
      <c r="D47" s="21"/>
      <c r="E47" s="41"/>
      <c r="F47" s="42"/>
      <c r="G47" s="10"/>
      <c r="H47" s="43"/>
      <c r="I47" s="12"/>
    </row>
    <row r="48">
      <c r="A48" s="44"/>
      <c r="B48" s="44"/>
      <c r="C48" s="44"/>
      <c r="D48" s="45"/>
      <c r="E48" s="46" t="s">
        <v>46</v>
      </c>
      <c r="F48" s="47"/>
      <c r="G48" s="48"/>
      <c r="H48" s="49">
        <v>1014.0</v>
      </c>
      <c r="I48" s="50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</row>
    <row r="49">
      <c r="A49" s="51"/>
      <c r="B49" s="51"/>
      <c r="C49" s="51"/>
      <c r="D49" s="52"/>
      <c r="E49" s="53" t="s">
        <v>47</v>
      </c>
      <c r="F49" s="10"/>
      <c r="G49" s="54"/>
      <c r="H49" s="55">
        <f>H46-H48</f>
        <v>12166</v>
      </c>
      <c r="I49" s="56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</row>
    <row r="50">
      <c r="E50" s="15"/>
      <c r="F50" s="15"/>
      <c r="G50" s="15"/>
      <c r="H50" s="15"/>
    </row>
    <row r="51">
      <c r="A51" s="3" t="s">
        <v>48</v>
      </c>
    </row>
    <row r="52">
      <c r="A52" s="3" t="s">
        <v>49</v>
      </c>
    </row>
    <row r="53">
      <c r="A53" s="3" t="s">
        <v>50</v>
      </c>
    </row>
    <row r="55">
      <c r="A55" s="58" t="s">
        <v>51</v>
      </c>
    </row>
    <row r="56">
      <c r="A56" s="59" t="s">
        <v>52</v>
      </c>
    </row>
    <row r="57">
      <c r="A57" s="60"/>
    </row>
    <row r="62">
      <c r="E62">
        <f>550+820</f>
        <v>1370</v>
      </c>
    </row>
    <row r="66">
      <c r="I66" s="61"/>
    </row>
  </sheetData>
  <mergeCells count="56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4:E34"/>
    <mergeCell ref="A35:E35"/>
    <mergeCell ref="A36:E36"/>
    <mergeCell ref="A37:E37"/>
    <mergeCell ref="A38:E38"/>
    <mergeCell ref="A39:E39"/>
    <mergeCell ref="A40:E40"/>
    <mergeCell ref="E49:F49"/>
    <mergeCell ref="A51:E51"/>
    <mergeCell ref="A52:E52"/>
    <mergeCell ref="A53:E53"/>
    <mergeCell ref="A55:H55"/>
    <mergeCell ref="A56:H56"/>
    <mergeCell ref="A57:G57"/>
    <mergeCell ref="A41:E41"/>
    <mergeCell ref="A42:E42"/>
    <mergeCell ref="A43:E43"/>
    <mergeCell ref="A44:E44"/>
    <mergeCell ref="A45:E45"/>
    <mergeCell ref="A46:E46"/>
    <mergeCell ref="F46:G4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