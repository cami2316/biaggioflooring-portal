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j9byf/L8PNebXhBJOKuOuC6ZRO/JQMefdtMtrOhY8w="/>
    </ext>
  </extLst>
</workbook>
</file>

<file path=xl/sharedStrings.xml><?xml version="1.0" encoding="utf-8"?>
<sst xmlns="http://schemas.openxmlformats.org/spreadsheetml/2006/main" count="58" uniqueCount="55">
  <si>
    <t>Biaggio Flooring LLC</t>
  </si>
  <si>
    <t>estimate</t>
  </si>
  <si>
    <t>2314 Lake Debra dr #2314</t>
  </si>
  <si>
    <t>DATE:</t>
  </si>
  <si>
    <t>Orlando Fl 32835</t>
  </si>
  <si>
    <t>invoice #:</t>
  </si>
  <si>
    <t>Phone: 321-6821090</t>
  </si>
  <si>
    <t>Representative:</t>
  </si>
  <si>
    <t>f covery</t>
  </si>
  <si>
    <t>Terms:</t>
  </si>
  <si>
    <t>Project ID:</t>
  </si>
  <si>
    <t>troy</t>
  </si>
  <si>
    <t>Customer Information</t>
  </si>
  <si>
    <t>Name:</t>
  </si>
  <si>
    <t>Phone:</t>
  </si>
  <si>
    <t>Address:</t>
  </si>
  <si>
    <t>Cell:</t>
  </si>
  <si>
    <t>City, St. Zip:</t>
  </si>
  <si>
    <t xml:space="preserve">orlando </t>
  </si>
  <si>
    <t>Email:</t>
  </si>
  <si>
    <t>Description</t>
  </si>
  <si>
    <t>Qty</t>
  </si>
  <si>
    <t>Price</t>
  </si>
  <si>
    <t>Amount</t>
  </si>
  <si>
    <t>Bath 01</t>
  </si>
  <si>
    <t xml:space="preserve">showerfloor( mortar bed , installing)  </t>
  </si>
  <si>
    <t>walls 12x24( cement board not )included</t>
  </si>
  <si>
    <t>cemente board</t>
  </si>
  <si>
    <t>curb</t>
  </si>
  <si>
    <t xml:space="preserve"> wall recess ( working around)</t>
  </si>
  <si>
    <t xml:space="preserve">working around window </t>
  </si>
  <si>
    <t>demo wall</t>
  </si>
  <si>
    <t>demo bathtub</t>
  </si>
  <si>
    <t>Bath 02</t>
  </si>
  <si>
    <t xml:space="preserve">cement board installation </t>
  </si>
  <si>
    <t>tile installation 12x24</t>
  </si>
  <si>
    <t>work around window</t>
  </si>
  <si>
    <t>wall reccess (working around)</t>
  </si>
  <si>
    <t>bath 03 Master</t>
  </si>
  <si>
    <t>demo floor</t>
  </si>
  <si>
    <t>demo bathtube AND FRAME</t>
  </si>
  <si>
    <t>install floor</t>
  </si>
  <si>
    <t>shower floor</t>
  </si>
  <si>
    <t>master wall</t>
  </si>
  <si>
    <t>master wall cement board</t>
  </si>
  <si>
    <t>not included cabinets demolition</t>
  </si>
  <si>
    <t>price to be adjusted if the measurements change</t>
  </si>
  <si>
    <t xml:space="preserve">baseboard not included </t>
  </si>
  <si>
    <t>total</t>
  </si>
  <si>
    <t>please pay ( provision)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</si>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</sst>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sz val="18.0"/>
      <color theme="1"/>
      <name val="Arial"/>
    </font>
    <font>
      <sz val="18.0"/>
      <color rgb="FF99CCFF"/>
      <name val="Arial"/>
    </font>
    <font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/>
    <font>
      <sz val="12.0"/>
      <color theme="1"/>
      <name val="Arial"/>
    </font>
    <font>
      <b/>
      <color theme="1"/>
      <name val="Arial"/>
    </font>
    <font>
      <sz val="9.0"/>
      <color theme="1"/>
      <name val="Arial"/>
    </font>
    <font>
      <b/>
      <sz val="20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10" fillId="0" fontId="9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14" fillId="0" fontId="10" numFmtId="0" xfId="0" applyAlignment="1" applyBorder="1" applyFont="1">
      <alignment shrinkToFit="0" wrapText="1"/>
    </xf>
    <xf borderId="10" fillId="0" fontId="11" numFmtId="0" xfId="0" applyAlignment="1" applyBorder="1" applyFont="1">
      <alignment shrinkToFit="0" wrapText="1"/>
    </xf>
    <xf borderId="2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1" fillId="0" fontId="12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4" fillId="0" fontId="1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3.0"/>
    <col customWidth="1" min="9" max="9" width="15.13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45478.0</v>
      </c>
    </row>
    <row r="3" ht="12.75" customHeight="1">
      <c r="A3" s="3" t="s">
        <v>4</v>
      </c>
      <c r="F3" s="4" t="s">
        <v>5</v>
      </c>
      <c r="H3" s="6">
        <v>2407.0</v>
      </c>
    </row>
    <row r="4" ht="12.75" customHeight="1">
      <c r="A4" s="3" t="s">
        <v>6</v>
      </c>
      <c r="F4" s="7" t="s">
        <v>7</v>
      </c>
      <c r="H4" s="6" t="s">
        <v>8</v>
      </c>
    </row>
    <row r="5" ht="12.75" customHeight="1">
      <c r="G5" s="7" t="s">
        <v>9</v>
      </c>
    </row>
    <row r="6" ht="12.75" customHeight="1">
      <c r="F6" s="7" t="s">
        <v>10</v>
      </c>
      <c r="H6" s="3" t="s">
        <v>11</v>
      </c>
    </row>
    <row r="7" ht="12.75" customHeight="1"/>
    <row r="8" ht="12.75" customHeight="1">
      <c r="A8" s="8"/>
      <c r="B8" s="8"/>
      <c r="C8" s="8"/>
      <c r="D8" s="8"/>
      <c r="E8" s="8"/>
      <c r="F8" s="8"/>
      <c r="G8" s="8"/>
      <c r="H8" s="8"/>
    </row>
    <row r="9" ht="12.75" customHeight="1">
      <c r="A9" s="9" t="s">
        <v>12</v>
      </c>
      <c r="B9" s="10"/>
      <c r="C9" s="10"/>
      <c r="D9" s="10"/>
      <c r="E9" s="10"/>
      <c r="F9" s="10"/>
      <c r="G9" s="10"/>
      <c r="H9" s="11"/>
      <c r="I9" s="12"/>
    </row>
    <row r="10" ht="12.75" customHeight="1">
      <c r="A10" s="13" t="s">
        <v>13</v>
      </c>
      <c r="B10" s="14"/>
      <c r="C10" s="15"/>
      <c r="D10" s="15"/>
      <c r="E10" s="15"/>
      <c r="F10" s="14" t="s">
        <v>14</v>
      </c>
      <c r="G10" s="14"/>
      <c r="H10" s="16"/>
      <c r="I10" s="12"/>
    </row>
    <row r="11" ht="12.75" customHeight="1">
      <c r="A11" s="12" t="s">
        <v>15</v>
      </c>
      <c r="B11" s="3"/>
      <c r="F11" s="3" t="s">
        <v>16</v>
      </c>
      <c r="G11" s="3"/>
      <c r="H11" s="17"/>
      <c r="I11" s="12"/>
    </row>
    <row r="12" ht="12.75" customHeight="1">
      <c r="A12" s="18" t="s">
        <v>17</v>
      </c>
      <c r="B12" s="8" t="s">
        <v>18</v>
      </c>
      <c r="C12" s="19"/>
      <c r="D12" s="19"/>
      <c r="E12" s="19"/>
      <c r="F12" s="8" t="s">
        <v>19</v>
      </c>
      <c r="G12" s="8"/>
      <c r="H12" s="20"/>
      <c r="I12" s="12"/>
    </row>
    <row r="13" ht="12.75" customHeight="1">
      <c r="A13" s="21"/>
      <c r="B13" s="21"/>
      <c r="C13" s="21"/>
      <c r="D13" s="21"/>
      <c r="E13" s="21"/>
      <c r="F13" s="21"/>
      <c r="G13" s="21"/>
      <c r="H13" s="21"/>
    </row>
    <row r="14" ht="12.75" customHeight="1">
      <c r="A14" s="22" t="s">
        <v>20</v>
      </c>
      <c r="B14" s="10"/>
      <c r="C14" s="10"/>
      <c r="D14" s="10"/>
      <c r="E14" s="10"/>
      <c r="F14" s="23" t="s">
        <v>21</v>
      </c>
      <c r="G14" s="23" t="s">
        <v>22</v>
      </c>
      <c r="H14" s="23" t="s">
        <v>23</v>
      </c>
      <c r="I14" s="12"/>
    </row>
    <row r="15" ht="15.0" customHeight="1">
      <c r="A15" s="24" t="s">
        <v>24</v>
      </c>
      <c r="F15" s="25"/>
      <c r="G15" s="25"/>
      <c r="H15" s="25"/>
      <c r="I15" s="12"/>
    </row>
    <row r="16" ht="15.0" customHeight="1">
      <c r="A16" s="26" t="s">
        <v>25</v>
      </c>
      <c r="E16" s="17"/>
      <c r="F16" s="27">
        <v>15.0</v>
      </c>
      <c r="G16" s="25">
        <v>30.0</v>
      </c>
      <c r="H16" s="25">
        <f t="shared" ref="H16:H18" si="1">G16*F16</f>
        <v>450</v>
      </c>
      <c r="I16" s="12"/>
    </row>
    <row r="17" ht="15.0" customHeight="1">
      <c r="A17" s="12" t="s">
        <v>26</v>
      </c>
      <c r="E17" s="17"/>
      <c r="F17" s="27">
        <v>80.0</v>
      </c>
      <c r="G17" s="25">
        <v>12.0</v>
      </c>
      <c r="H17" s="25">
        <f t="shared" si="1"/>
        <v>960</v>
      </c>
      <c r="I17" s="12"/>
    </row>
    <row r="18" ht="15.0" customHeight="1">
      <c r="A18" s="26" t="s">
        <v>27</v>
      </c>
      <c r="E18" s="17"/>
      <c r="F18" s="27">
        <v>80.0</v>
      </c>
      <c r="G18" s="27">
        <v>2.5</v>
      </c>
      <c r="H18" s="25">
        <f t="shared" si="1"/>
        <v>200</v>
      </c>
      <c r="I18" s="12"/>
    </row>
    <row r="19" ht="15.0" customHeight="1">
      <c r="A19" s="26" t="s">
        <v>28</v>
      </c>
      <c r="E19" s="17"/>
      <c r="F19" s="25">
        <v>1.0</v>
      </c>
      <c r="G19" s="27">
        <v>200.0</v>
      </c>
      <c r="H19" s="25">
        <f t="shared" ref="H19:H20" si="2">F19*G19</f>
        <v>200</v>
      </c>
      <c r="I19" s="12"/>
    </row>
    <row r="20" ht="15.0" customHeight="1">
      <c r="A20" s="26" t="s">
        <v>29</v>
      </c>
      <c r="E20" s="17"/>
      <c r="F20" s="27">
        <v>1.0</v>
      </c>
      <c r="G20" s="27">
        <v>60.0</v>
      </c>
      <c r="H20" s="25">
        <f t="shared" si="2"/>
        <v>60</v>
      </c>
      <c r="I20" s="12"/>
    </row>
    <row r="21" ht="15.0" customHeight="1">
      <c r="A21" s="26" t="s">
        <v>30</v>
      </c>
      <c r="E21" s="17"/>
      <c r="F21" s="25">
        <v>1.0</v>
      </c>
      <c r="G21" s="27">
        <v>85.0</v>
      </c>
      <c r="H21" s="25">
        <f t="shared" ref="H21:H23" si="3">G21*F21</f>
        <v>85</v>
      </c>
      <c r="I21" s="12"/>
    </row>
    <row r="22" ht="15.0" customHeight="1">
      <c r="A22" s="26" t="s">
        <v>31</v>
      </c>
      <c r="E22" s="17"/>
      <c r="F22" s="27">
        <v>65.0</v>
      </c>
      <c r="G22" s="27">
        <v>4.0</v>
      </c>
      <c r="H22" s="25">
        <f t="shared" si="3"/>
        <v>260</v>
      </c>
      <c r="I22" s="12"/>
    </row>
    <row r="23" ht="15.0" customHeight="1">
      <c r="A23" s="26" t="s">
        <v>32</v>
      </c>
      <c r="E23" s="17"/>
      <c r="F23" s="27">
        <v>1.0</v>
      </c>
      <c r="G23" s="27">
        <v>400.0</v>
      </c>
      <c r="H23" s="25">
        <f t="shared" si="3"/>
        <v>400</v>
      </c>
      <c r="I23" s="12"/>
    </row>
    <row r="24" ht="15.0" customHeight="1">
      <c r="A24" s="24" t="s">
        <v>33</v>
      </c>
      <c r="E24" s="17"/>
      <c r="F24" s="25"/>
      <c r="G24" s="25"/>
      <c r="H24" s="25"/>
      <c r="I24" s="12"/>
    </row>
    <row r="25" ht="15.0" customHeight="1">
      <c r="A25" s="26" t="s">
        <v>34</v>
      </c>
      <c r="E25" s="17"/>
      <c r="F25" s="27">
        <v>80.0</v>
      </c>
      <c r="G25" s="27">
        <v>2.5</v>
      </c>
      <c r="H25" s="25">
        <f t="shared" ref="H25:H28" si="4">G25*F25</f>
        <v>200</v>
      </c>
      <c r="I25" s="12"/>
    </row>
    <row r="26" ht="15.0" customHeight="1">
      <c r="A26" s="12" t="s">
        <v>35</v>
      </c>
      <c r="E26" s="17"/>
      <c r="F26" s="27">
        <v>65.0</v>
      </c>
      <c r="G26" s="27">
        <v>12.0</v>
      </c>
      <c r="H26" s="25">
        <f t="shared" si="4"/>
        <v>780</v>
      </c>
      <c r="I26" s="12"/>
    </row>
    <row r="27" ht="15.0" customHeight="1">
      <c r="A27" s="26" t="s">
        <v>36</v>
      </c>
      <c r="E27" s="17"/>
      <c r="F27" s="27">
        <v>1.0</v>
      </c>
      <c r="G27" s="27">
        <v>85.0</v>
      </c>
      <c r="H27" s="25">
        <f t="shared" si="4"/>
        <v>85</v>
      </c>
      <c r="I27" s="12"/>
    </row>
    <row r="28" ht="15.0" customHeight="1">
      <c r="A28" s="26" t="s">
        <v>31</v>
      </c>
      <c r="E28" s="17"/>
      <c r="F28" s="27">
        <v>65.0</v>
      </c>
      <c r="G28" s="27">
        <v>4.0</v>
      </c>
      <c r="H28" s="25">
        <f t="shared" si="4"/>
        <v>260</v>
      </c>
      <c r="I28" s="12"/>
    </row>
    <row r="29" ht="15.0" customHeight="1">
      <c r="A29" s="26" t="s">
        <v>37</v>
      </c>
      <c r="E29" s="17"/>
      <c r="F29" s="27">
        <v>1.0</v>
      </c>
      <c r="G29" s="27">
        <v>60.0</v>
      </c>
      <c r="H29" s="27">
        <v>60.0</v>
      </c>
      <c r="I29" s="12"/>
    </row>
    <row r="30" ht="15.0" customHeight="1">
      <c r="A30" s="24" t="s">
        <v>38</v>
      </c>
      <c r="E30" s="17"/>
      <c r="F30" s="25"/>
      <c r="G30" s="25"/>
      <c r="H30" s="25"/>
      <c r="I30" s="12"/>
    </row>
    <row r="31" ht="15.0" customHeight="1">
      <c r="A31" s="26" t="s">
        <v>39</v>
      </c>
      <c r="E31" s="17"/>
      <c r="F31" s="27">
        <v>150.0</v>
      </c>
      <c r="G31" s="27">
        <v>2.0</v>
      </c>
      <c r="H31" s="25">
        <f t="shared" ref="H31:H35" si="5">G31*F31</f>
        <v>300</v>
      </c>
      <c r="I31" s="12"/>
    </row>
    <row r="32" ht="15.0" customHeight="1">
      <c r="A32" s="26" t="s">
        <v>31</v>
      </c>
      <c r="E32" s="17"/>
      <c r="F32" s="27">
        <v>125.0</v>
      </c>
      <c r="G32" s="27">
        <v>4.0</v>
      </c>
      <c r="H32" s="25">
        <f t="shared" si="5"/>
        <v>500</v>
      </c>
      <c r="I32" s="12"/>
    </row>
    <row r="33" ht="15.0" customHeight="1">
      <c r="A33" s="26" t="s">
        <v>40</v>
      </c>
      <c r="E33" s="17"/>
      <c r="F33" s="27">
        <v>1.0</v>
      </c>
      <c r="G33" s="27">
        <v>650.0</v>
      </c>
      <c r="H33" s="25">
        <f t="shared" si="5"/>
        <v>650</v>
      </c>
      <c r="I33" s="12"/>
    </row>
    <row r="34" ht="15.0" customHeight="1">
      <c r="A34" s="26" t="s">
        <v>41</v>
      </c>
      <c r="E34" s="17"/>
      <c r="F34" s="27">
        <v>130.0</v>
      </c>
      <c r="G34" s="27">
        <v>3.8</v>
      </c>
      <c r="H34" s="25">
        <f t="shared" si="5"/>
        <v>494</v>
      </c>
      <c r="I34" s="12"/>
    </row>
    <row r="35" ht="15.0" customHeight="1">
      <c r="A35" s="26" t="s">
        <v>42</v>
      </c>
      <c r="E35" s="17"/>
      <c r="F35" s="27">
        <v>20.0</v>
      </c>
      <c r="G35" s="27">
        <v>30.0</v>
      </c>
      <c r="H35" s="25">
        <f t="shared" si="5"/>
        <v>600</v>
      </c>
      <c r="I35" s="12"/>
    </row>
    <row r="36" ht="15.0" customHeight="1">
      <c r="A36" s="26" t="s">
        <v>28</v>
      </c>
      <c r="E36" s="17"/>
      <c r="F36" s="27">
        <v>1.0</v>
      </c>
      <c r="G36" s="27">
        <v>200.0</v>
      </c>
      <c r="H36" s="27">
        <v>200.0</v>
      </c>
      <c r="I36" s="12"/>
    </row>
    <row r="37" ht="15.0" customHeight="1">
      <c r="A37" s="26" t="s">
        <v>43</v>
      </c>
      <c r="E37" s="17"/>
      <c r="F37" s="27">
        <v>125.0</v>
      </c>
      <c r="G37" s="27">
        <v>12.0</v>
      </c>
      <c r="H37" s="25">
        <f t="shared" ref="H37:H38" si="6">F37*G37</f>
        <v>1500</v>
      </c>
      <c r="I37" s="12"/>
    </row>
    <row r="38" ht="15.0" customHeight="1">
      <c r="A38" s="26" t="s">
        <v>44</v>
      </c>
      <c r="E38" s="17"/>
      <c r="F38" s="27">
        <v>125.0</v>
      </c>
      <c r="G38" s="27">
        <v>2.5</v>
      </c>
      <c r="H38" s="25">
        <f t="shared" si="6"/>
        <v>312.5</v>
      </c>
      <c r="I38" s="12"/>
    </row>
    <row r="39" ht="15.0" customHeight="1">
      <c r="A39" s="12"/>
      <c r="E39" s="17"/>
      <c r="F39" s="25"/>
      <c r="G39" s="25"/>
      <c r="H39" s="25"/>
      <c r="I39" s="12"/>
    </row>
    <row r="40" ht="15.0" customHeight="1">
      <c r="A40" s="28" t="s">
        <v>45</v>
      </c>
      <c r="E40" s="17"/>
      <c r="F40" s="29"/>
      <c r="G40" s="29"/>
      <c r="H40" s="29"/>
      <c r="I40" s="12"/>
    </row>
    <row r="41" ht="15.0" customHeight="1">
      <c r="A41" s="28" t="s">
        <v>46</v>
      </c>
      <c r="E41" s="17"/>
      <c r="F41" s="29"/>
      <c r="G41" s="29"/>
      <c r="H41" s="29"/>
      <c r="I41" s="12"/>
    </row>
    <row r="42" ht="15.0" customHeight="1">
      <c r="A42" s="28" t="s">
        <v>47</v>
      </c>
      <c r="E42" s="17"/>
      <c r="F42" s="29"/>
      <c r="G42" s="29"/>
      <c r="H42" s="29"/>
      <c r="I42" s="12"/>
    </row>
    <row r="43" ht="15.0" customHeight="1">
      <c r="A43" s="30"/>
      <c r="E43" s="17"/>
      <c r="F43" s="29"/>
      <c r="G43" s="29"/>
      <c r="H43" s="29"/>
      <c r="I43" s="12"/>
    </row>
    <row r="44" ht="15.0" customHeight="1">
      <c r="A44" s="30"/>
      <c r="E44" s="17"/>
      <c r="F44" s="29"/>
      <c r="G44" s="29"/>
      <c r="H44" s="29"/>
      <c r="I44" s="12"/>
    </row>
    <row r="45" ht="15.0" customHeight="1">
      <c r="A45" s="30"/>
      <c r="E45" s="17"/>
      <c r="F45" s="29"/>
      <c r="G45" s="29"/>
      <c r="H45" s="29"/>
      <c r="I45" s="12"/>
    </row>
    <row r="46">
      <c r="A46" s="31"/>
      <c r="B46" s="19"/>
      <c r="C46" s="19"/>
      <c r="D46" s="19"/>
      <c r="E46" s="20"/>
      <c r="F46" s="32" t="s">
        <v>48</v>
      </c>
      <c r="G46" s="11"/>
      <c r="H46" s="33">
        <f>H16+H17+H18+H19+H20+H21+H22+H23+H25+H26+H27+H28+H29+H31+H32+H33+H34+H35+H36+H37+H38</f>
        <v>8556.5</v>
      </c>
      <c r="I46" s="12"/>
    </row>
    <row r="47" ht="12.75" customHeight="1">
      <c r="D47" s="29"/>
      <c r="E47" s="34"/>
      <c r="F47" s="35"/>
      <c r="G47" s="21"/>
      <c r="H47" s="36"/>
      <c r="I47" s="12"/>
    </row>
    <row r="48" ht="12.75" customHeight="1">
      <c r="D48" s="29"/>
      <c r="E48" s="34"/>
      <c r="F48" s="35"/>
      <c r="G48" s="21"/>
      <c r="H48" s="37"/>
      <c r="I48" s="12"/>
    </row>
    <row r="49" ht="12.75" customHeight="1">
      <c r="A49" s="14"/>
      <c r="B49" s="14"/>
      <c r="C49" s="14"/>
      <c r="D49" s="38"/>
      <c r="E49" s="35" t="s">
        <v>49</v>
      </c>
      <c r="F49" s="10"/>
      <c r="G49" s="21"/>
      <c r="H49" s="39">
        <f>H46-H48</f>
        <v>8556.5</v>
      </c>
      <c r="I49" s="12"/>
    </row>
    <row r="50" ht="12.75" customHeight="1">
      <c r="E50" s="14"/>
      <c r="F50" s="14"/>
      <c r="G50" s="14"/>
      <c r="H50" s="14"/>
    </row>
    <row r="51" ht="12.75" customHeight="1">
      <c r="A51" s="3" t="s">
        <v>50</v>
      </c>
    </row>
    <row r="52" ht="12.75" customHeight="1">
      <c r="A52" s="3" t="s">
        <v>51</v>
      </c>
    </row>
    <row r="53" ht="12.75" customHeight="1">
      <c r="A53" s="3" t="s">
        <v>52</v>
      </c>
    </row>
    <row r="54" ht="12.75" customHeight="1"/>
    <row r="55" ht="12.75" customHeight="1">
      <c r="A55" s="40" t="s">
        <v>53</v>
      </c>
    </row>
    <row r="56" ht="12.75" customHeight="1">
      <c r="A56" s="41" t="s">
        <v>54</v>
      </c>
    </row>
    <row r="57" ht="12.75" customHeight="1">
      <c r="A57" s="41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6:E16"/>
    <mergeCell ref="A17:E17"/>
    <mergeCell ref="A18:E18"/>
    <mergeCell ref="A15:E15"/>
    <mergeCell ref="A19:E19"/>
    <mergeCell ref="A21:E21"/>
    <mergeCell ref="A22:E22"/>
    <mergeCell ref="A23:E23"/>
    <mergeCell ref="A24:E24"/>
    <mergeCell ref="A25:E25"/>
    <mergeCell ref="A26:E26"/>
    <mergeCell ref="A20:E20"/>
    <mergeCell ref="A27:E27"/>
    <mergeCell ref="A28:E28"/>
    <mergeCell ref="A30:E30"/>
    <mergeCell ref="A31:E31"/>
    <mergeCell ref="A32:E32"/>
    <mergeCell ref="A33:E33"/>
    <mergeCell ref="A29:E29"/>
    <mergeCell ref="A34:E34"/>
    <mergeCell ref="A35:E35"/>
    <mergeCell ref="A36:E36"/>
    <mergeCell ref="A37:E37"/>
    <mergeCell ref="A38:E38"/>
    <mergeCell ref="A39:E39"/>
    <mergeCell ref="A40:E40"/>
    <mergeCell ref="E49:F49"/>
    <mergeCell ref="A51:E51"/>
    <mergeCell ref="A52:E52"/>
    <mergeCell ref="A53:E53"/>
    <mergeCell ref="A55:H55"/>
    <mergeCell ref="A56:H56"/>
    <mergeCell ref="A57:G57"/>
    <mergeCell ref="A41:E41"/>
    <mergeCell ref="A42:E42"/>
    <mergeCell ref="A43:E43"/>
    <mergeCell ref="A44:E44"/>
    <mergeCell ref="A45:E45"/>
    <mergeCell ref="A46:E46"/>
    <mergeCell ref="F46:G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