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<sst xmlns="http://schemas.openxmlformats.org/spreadsheetml/2006/main" count="55" uniqueCount="55">
  <si>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</si>
  <si>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</si>
  <si>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</si>
  <si>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</si>
  <si>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</si>
  <si>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</si>
  <si>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</si>
  <si>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</si>
  <si>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</si>
  <si>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</si>
  <si>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DEB01</t>
  </si>
  <si>
    <t>Customer Information</t>
  </si>
  <si>
    <t>Name:</t>
  </si>
  <si>
    <t>Debby Rodrigues</t>
  </si>
  <si>
    <t>Phone:</t>
  </si>
  <si>
    <t>Address:</t>
  </si>
  <si>
    <t xml:space="preserve">410  songbird </t>
  </si>
  <si>
    <t>Cell:</t>
  </si>
  <si>
    <t>City, St. Zip:</t>
  </si>
  <si>
    <t>Email:</t>
  </si>
  <si>
    <t>Description</t>
  </si>
  <si>
    <t>Qty</t>
  </si>
  <si>
    <t>Price</t>
  </si>
  <si>
    <t>Amount</t>
  </si>
  <si>
    <t>demo tile (trash disposal not included)  ( 65 sqf add)</t>
  </si>
  <si>
    <t>demo and   installation  of 6"  baseboards  ( trash disposal not included)</t>
  </si>
  <si>
    <t>floor instalation wood look tile 10X32 labor only (PROMOTIONAL PRICE)</t>
  </si>
  <si>
    <t>floor prep  if necessary  :  60/ hour Griding  / self level  labor : 20 / bag ( self level not included)</t>
  </si>
  <si>
    <t>Bathroom</t>
  </si>
  <si>
    <t>demo walls</t>
  </si>
  <si>
    <t>instalation of cement board labor only</t>
  </si>
  <si>
    <t>instalation of porcelain basic tile up to 12x24 labor only</t>
  </si>
  <si>
    <t>niche on bathroom  ( labor only)</t>
  </si>
  <si>
    <t>niche 2 installation</t>
  </si>
  <si>
    <t xml:space="preserve"> mosaic band on bathroom ( labor only)</t>
  </si>
  <si>
    <t>remove bathtub ( trash disposal not inclued)</t>
  </si>
  <si>
    <t>make curb / prepare walking shower</t>
  </si>
  <si>
    <t>shower floor with linear drain</t>
  </si>
  <si>
    <t>if want central drain, will be add $100.00( plumber did thid job)</t>
  </si>
  <si>
    <t>instalation cement board labor only</t>
  </si>
  <si>
    <t xml:space="preserve"> removal Toilets (1)  ** wiil not be reinstalled and toilet</t>
  </si>
  <si>
    <t>mosaic floor with sealer</t>
  </si>
  <si>
    <t>fireplace l prep</t>
  </si>
  <si>
    <t xml:space="preserve">fireplace stacked stone installation </t>
  </si>
  <si>
    <t>removal appliance ( wash ans dryer, oven, ) FREE : fridge , and wine cooler</t>
  </si>
  <si>
    <t>Job Schedule to start on 02/01/2020**</t>
  </si>
  <si>
    <t>Subtotal</t>
  </si>
  <si>
    <t xml:space="preserve">Doscount *** </t>
  </si>
  <si>
    <t xml:space="preserve">Total </t>
  </si>
  <si>
    <t>paid</t>
  </si>
  <si>
    <t xml:space="preserve">Terms: 40% due to order/schedule. Balance due upon completion    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</si>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</sst>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10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color rgb="FF000000"/>
      <name val="Roboto"/>
    </font>
    <font>
      <b/>
      <sz val="12.0"/>
    </font>
  </fonts>
  <fills count="5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13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right" readingOrder="0" shrinkToFit="0" vertical="bottom" wrapText="1"/>
    </xf>
    <xf borderId="9" fillId="0" fontId="7" numFmtId="0" xfId="0" applyAlignment="1" applyBorder="1" applyFont="1">
      <alignment horizontal="right" shrinkToFit="0" vertical="bottom" wrapText="1"/>
    </xf>
    <xf borderId="9" fillId="0" fontId="7" numFmtId="0" xfId="0" applyAlignment="1" applyBorder="1" applyFont="1">
      <alignment horizontal="right" shrinkToFit="0" vertical="bottom" wrapText="1"/>
    </xf>
    <xf borderId="5" fillId="0" fontId="7" numFmtId="0" xfId="0" applyAlignment="1" applyBorder="1" applyFont="1">
      <alignment shrinkToFit="0" vertical="bottom" wrapText="1"/>
    </xf>
    <xf borderId="9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shrinkToFit="0" vertical="bottom" wrapText="1"/>
    </xf>
    <xf borderId="0" fillId="3" fontId="8" numFmtId="0" xfId="0" applyAlignment="1" applyFill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2" fillId="4" fontId="9" numFmtId="0" xfId="0" applyAlignment="1" applyBorder="1" applyFill="1" applyFont="1">
      <alignment readingOrder="0" shrinkToFit="0" wrapText="1"/>
    </xf>
    <xf borderId="3" fillId="4" fontId="3" numFmtId="0" xfId="0" applyAlignment="1" applyBorder="1" applyFont="1">
      <alignment shrinkToFit="0" wrapText="1"/>
    </xf>
    <xf borderId="4" fillId="4" fontId="3" numFmtId="4" xfId="0" applyAlignment="1" applyBorder="1" applyFont="1" applyNumberFormat="1">
      <alignment shrinkToFit="0" wrapText="1"/>
    </xf>
    <xf borderId="7" fillId="0" fontId="3" numFmtId="165" xfId="0" applyAlignment="1" applyBorder="1" applyFont="1" applyNumberForma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43827.0</v>
      </c>
    </row>
    <row r="3">
      <c r="A3" s="3" t="s">
        <v>4</v>
      </c>
      <c r="F3" s="4" t="s">
        <v>5</v>
      </c>
      <c r="H3" s="3">
        <v>1547.0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7"/>
      <c r="C12" s="7"/>
      <c r="D12" s="7"/>
      <c r="E12" s="7"/>
      <c r="F12" s="22" t="s">
        <v>19</v>
      </c>
      <c r="G12" s="7"/>
      <c r="H12" s="23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4" t="s">
        <v>20</v>
      </c>
      <c r="B14" s="9"/>
      <c r="C14" s="9"/>
      <c r="D14" s="9"/>
      <c r="E14" s="9"/>
      <c r="F14" s="25" t="s">
        <v>21</v>
      </c>
      <c r="G14" s="25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3">
        <f>442+65</f>
        <v>507</v>
      </c>
      <c r="G15" s="28">
        <v>1.5</v>
      </c>
      <c r="H15" s="29">
        <f t="shared" ref="H15:H17" si="1">G15*F15</f>
        <v>760.5</v>
      </c>
      <c r="I15" s="11"/>
    </row>
    <row r="16" ht="15.0" customHeight="1">
      <c r="A16" s="27" t="s">
        <v>25</v>
      </c>
      <c r="E16" s="20"/>
      <c r="F16" s="28">
        <v>105.0</v>
      </c>
      <c r="G16" s="27">
        <v>2.5</v>
      </c>
      <c r="H16" s="29">
        <f t="shared" si="1"/>
        <v>262.5</v>
      </c>
    </row>
    <row r="17" ht="15.0" customHeight="1">
      <c r="A17" s="27" t="s">
        <v>26</v>
      </c>
      <c r="E17" s="20"/>
      <c r="F17" s="28">
        <v>507.0</v>
      </c>
      <c r="G17" s="27">
        <v>3.15</v>
      </c>
      <c r="H17" s="29">
        <f t="shared" si="1"/>
        <v>1597.05</v>
      </c>
    </row>
    <row r="18" ht="15.0" customHeight="1">
      <c r="A18" s="27" t="s">
        <v>27</v>
      </c>
      <c r="E18" s="20"/>
      <c r="F18" s="28">
        <v>3.0</v>
      </c>
      <c r="G18" s="28">
        <v>20.0</v>
      </c>
      <c r="H18" s="28">
        <v>60.0</v>
      </c>
    </row>
    <row r="19" ht="15.0" customHeight="1">
      <c r="A19" s="30" t="s">
        <v>28</v>
      </c>
      <c r="E19" s="20"/>
      <c r="F19" s="31"/>
      <c r="G19" s="32"/>
      <c r="H19" s="33"/>
    </row>
    <row r="20" ht="15.0" customHeight="1">
      <c r="A20" s="34" t="s">
        <v>29</v>
      </c>
      <c r="E20" s="20"/>
      <c r="F20" s="31">
        <v>85.0</v>
      </c>
      <c r="G20" s="32">
        <v>4.0</v>
      </c>
      <c r="H20" s="33">
        <f t="shared" ref="H20:H21" si="2">G20*F20</f>
        <v>340</v>
      </c>
    </row>
    <row r="21" ht="15.0" customHeight="1">
      <c r="A21" s="30" t="s">
        <v>30</v>
      </c>
      <c r="E21" s="20"/>
      <c r="F21" s="31">
        <v>85.0</v>
      </c>
      <c r="G21" s="32">
        <v>2.5</v>
      </c>
      <c r="H21" s="33">
        <f t="shared" si="2"/>
        <v>212.5</v>
      </c>
    </row>
    <row r="22" ht="15.0" customHeight="1">
      <c r="A22" s="30" t="s">
        <v>31</v>
      </c>
      <c r="E22" s="20"/>
      <c r="F22" s="31">
        <v>85.0</v>
      </c>
      <c r="G22" s="32">
        <v>10.0</v>
      </c>
      <c r="H22" s="33">
        <v>900.0</v>
      </c>
    </row>
    <row r="23" ht="15.0" customHeight="1">
      <c r="A23" s="30" t="s">
        <v>32</v>
      </c>
      <c r="E23" s="20"/>
      <c r="F23" s="35">
        <v>1.0</v>
      </c>
      <c r="G23" s="35">
        <v>250.0</v>
      </c>
      <c r="H23" s="35">
        <v>250.0</v>
      </c>
    </row>
    <row r="24" ht="15.0" customHeight="1">
      <c r="A24" s="30" t="s">
        <v>33</v>
      </c>
      <c r="E24" s="20"/>
      <c r="F24" s="35">
        <v>1.0</v>
      </c>
      <c r="G24" s="35">
        <v>180.0</v>
      </c>
      <c r="H24" s="35">
        <v>180.0</v>
      </c>
    </row>
    <row r="25" ht="15.0" customHeight="1">
      <c r="A25" s="30" t="s">
        <v>34</v>
      </c>
      <c r="E25" s="20"/>
      <c r="F25" s="35">
        <v>1.0</v>
      </c>
      <c r="G25" s="35">
        <v>350.0</v>
      </c>
      <c r="H25" s="35">
        <f>G25</f>
        <v>350</v>
      </c>
    </row>
    <row r="26" ht="15.0" customHeight="1">
      <c r="A26" s="30" t="s">
        <v>35</v>
      </c>
      <c r="E26" s="20"/>
      <c r="F26" s="35">
        <v>1.0</v>
      </c>
      <c r="G26" s="35">
        <v>200.0</v>
      </c>
      <c r="H26" s="35">
        <v>200.0</v>
      </c>
    </row>
    <row r="27" ht="15.0" customHeight="1">
      <c r="A27" s="30" t="s">
        <v>36</v>
      </c>
      <c r="E27" s="20"/>
      <c r="F27" s="35">
        <v>1.0</v>
      </c>
      <c r="G27" s="35">
        <v>80.0</v>
      </c>
      <c r="H27" s="35">
        <v>80.0</v>
      </c>
    </row>
    <row r="28" ht="15.0" customHeight="1">
      <c r="A28" s="30" t="s">
        <v>37</v>
      </c>
      <c r="E28" s="20"/>
      <c r="F28" s="35">
        <v>15.0</v>
      </c>
      <c r="G28" s="35">
        <v>12.0</v>
      </c>
      <c r="H28" s="36">
        <f>G28*F28</f>
        <v>180</v>
      </c>
    </row>
    <row r="29" ht="15.0" customHeight="1">
      <c r="A29" s="30" t="s">
        <v>38</v>
      </c>
      <c r="E29" s="20"/>
      <c r="F29" s="31"/>
      <c r="G29" s="32"/>
      <c r="H29" s="31"/>
    </row>
    <row r="30" ht="15.0" customHeight="1">
      <c r="A30" s="30" t="s">
        <v>39</v>
      </c>
      <c r="E30" s="20"/>
      <c r="F30" s="31">
        <v>85.0</v>
      </c>
      <c r="G30" s="32">
        <v>2.5</v>
      </c>
      <c r="H30" s="33">
        <f>G30*F30</f>
        <v>212.5</v>
      </c>
    </row>
    <row r="31" ht="15.0" customHeight="1">
      <c r="A31" s="27" t="s">
        <v>40</v>
      </c>
      <c r="E31" s="20"/>
      <c r="F31" s="28">
        <v>1.0</v>
      </c>
      <c r="G31" s="27">
        <v>25.0</v>
      </c>
      <c r="H31" s="29">
        <f>G31</f>
        <v>25</v>
      </c>
    </row>
    <row r="32" ht="15.0" customHeight="1">
      <c r="A32" s="37" t="s">
        <v>41</v>
      </c>
      <c r="E32" s="20"/>
      <c r="F32" s="35">
        <v>1.0</v>
      </c>
      <c r="G32" s="35">
        <v>450.0</v>
      </c>
      <c r="H32" s="35">
        <v>450.0</v>
      </c>
      <c r="I32" s="11"/>
    </row>
    <row r="33" ht="15.0" customHeight="1">
      <c r="A33" s="30" t="s">
        <v>42</v>
      </c>
      <c r="E33" s="20"/>
      <c r="F33" s="35">
        <v>120.0</v>
      </c>
      <c r="G33" s="35">
        <v>2.5</v>
      </c>
      <c r="H33" s="35">
        <f t="shared" ref="H33:H35" si="3">G33*F33</f>
        <v>300</v>
      </c>
      <c r="I33" s="11"/>
    </row>
    <row r="34" ht="15.0" customHeight="1">
      <c r="A34" s="30" t="s">
        <v>43</v>
      </c>
      <c r="E34" s="20"/>
      <c r="F34" s="35">
        <v>120.0</v>
      </c>
      <c r="G34" s="35">
        <v>9.5</v>
      </c>
      <c r="H34" s="35">
        <f t="shared" si="3"/>
        <v>1140</v>
      </c>
      <c r="I34" s="11"/>
    </row>
    <row r="35" ht="15.0" customHeight="1">
      <c r="A35" s="30" t="s">
        <v>44</v>
      </c>
      <c r="E35" s="20"/>
      <c r="F35" s="35">
        <v>3.0</v>
      </c>
      <c r="G35" s="35">
        <v>35.0</v>
      </c>
      <c r="H35" s="35">
        <f t="shared" si="3"/>
        <v>105</v>
      </c>
      <c r="I35" s="11"/>
    </row>
    <row r="36" ht="15.0" customHeight="1">
      <c r="A36" s="30"/>
      <c r="E36" s="20"/>
      <c r="F36" s="35"/>
      <c r="G36" s="35"/>
      <c r="H36" s="35"/>
      <c r="I36" s="11"/>
    </row>
    <row r="37" ht="15.0" customHeight="1">
      <c r="A37" s="30" t="s">
        <v>45</v>
      </c>
      <c r="E37" s="20"/>
      <c r="F37" s="35"/>
      <c r="G37" s="35"/>
      <c r="H37" s="35"/>
      <c r="I37" s="11"/>
    </row>
    <row r="38" ht="15.0" customHeight="1">
      <c r="A38" s="27"/>
      <c r="E38" s="20"/>
      <c r="F38" s="12" t="s">
        <v>46</v>
      </c>
      <c r="G38" s="16"/>
      <c r="H38" s="29">
        <f>H15+H16+H17+H18+H19+H20+H21+H22+H23+H24+H25+H26+H27+H28+H29+H30+H31+H32+H33+H34+H35</f>
        <v>7605.05</v>
      </c>
      <c r="I38" s="11"/>
    </row>
    <row r="39" ht="15.0" customHeight="1">
      <c r="A39" s="38"/>
      <c r="B39" s="7"/>
      <c r="C39" s="7"/>
      <c r="D39" s="7"/>
      <c r="E39" s="23"/>
      <c r="F39" s="39"/>
      <c r="G39" s="23"/>
      <c r="H39" s="40"/>
      <c r="I39" s="11"/>
    </row>
    <row r="40" ht="15.0" customHeight="1">
      <c r="A40" s="3"/>
      <c r="B40" s="3"/>
      <c r="C40" s="3"/>
      <c r="D40" s="41"/>
      <c r="E40" s="38" t="s">
        <v>47</v>
      </c>
      <c r="F40" s="42"/>
      <c r="G40" s="43"/>
      <c r="H40" s="44">
        <v>100.0</v>
      </c>
      <c r="I40" s="11"/>
    </row>
    <row r="41">
      <c r="D41" s="20"/>
      <c r="E41" s="45" t="s">
        <v>48</v>
      </c>
      <c r="F41" s="9"/>
      <c r="G41" s="46"/>
      <c r="H41" s="47">
        <f>H38-H40</f>
        <v>7505.05</v>
      </c>
      <c r="I41" s="11"/>
    </row>
    <row r="42">
      <c r="E42" s="13" t="s">
        <v>49</v>
      </c>
      <c r="F42" s="14"/>
      <c r="G42" s="14"/>
      <c r="H42" s="48">
        <v>4000.0</v>
      </c>
    </row>
    <row r="43">
      <c r="A43" s="3" t="s">
        <v>50</v>
      </c>
    </row>
    <row r="44">
      <c r="A44" s="3" t="s">
        <v>51</v>
      </c>
    </row>
    <row r="45">
      <c r="A45" s="3" t="s">
        <v>52</v>
      </c>
    </row>
    <row r="47">
      <c r="A47" s="49" t="s">
        <v>53</v>
      </c>
    </row>
    <row r="48">
      <c r="A48" s="50" t="s">
        <v>54</v>
      </c>
    </row>
    <row r="49">
      <c r="A49" s="51"/>
    </row>
  </sheetData>
  <mergeCells count="5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F38:G39"/>
    <mergeCell ref="E41:F41"/>
    <mergeCell ref="A43:E43"/>
    <mergeCell ref="A44:E44"/>
    <mergeCell ref="A45:E45"/>
    <mergeCell ref="A47:H47"/>
    <mergeCell ref="A48:H48"/>
    <mergeCell ref="A49:G49"/>
    <mergeCell ref="A34:E34"/>
    <mergeCell ref="A35:E35"/>
    <mergeCell ref="A36:E36"/>
    <mergeCell ref="A37:E37"/>
    <mergeCell ref="A38:E38"/>
    <mergeCell ref="H38:H39"/>
    <mergeCell ref="A39:E39"/>
  </mergeCells>
  <drawing r:id="rId1"/>
</worksheet>
</file>