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<sst xmlns="http://schemas.openxmlformats.org/spreadsheetml/2006/main" count="44" uniqueCount="44">
  <si>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</si>
  <si>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</si>
  <si>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</si>
  <si>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</si>
  <si>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</si>
  <si>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</si>
  <si>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</si>
  <si>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</si>
  <si>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</si>
  <si>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</si>
  <si>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Tony 01</t>
  </si>
  <si>
    <t>Customer Information</t>
  </si>
  <si>
    <t>Name:</t>
  </si>
  <si>
    <t>Tony Stutes</t>
  </si>
  <si>
    <t>Phone:</t>
  </si>
  <si>
    <t>Address:</t>
  </si>
  <si>
    <t>1765 Torrington Circle</t>
  </si>
  <si>
    <t>Cell:</t>
  </si>
  <si>
    <t>City, St. Zip:</t>
  </si>
  <si>
    <t>Longwood 32750</t>
  </si>
  <si>
    <t>Email:</t>
  </si>
  <si>
    <t>Description</t>
  </si>
  <si>
    <t>Qty</t>
  </si>
  <si>
    <t>Price</t>
  </si>
  <si>
    <t>Amount</t>
  </si>
  <si>
    <t>,( 100 sqft tile curb shower  and wall,) demo disposal  INCLUDED</t>
  </si>
  <si>
    <t>basic installation ceramic tile floor ( 24x24)</t>
  </si>
  <si>
    <t>basic installation on wall tile rectified( 12×24)</t>
  </si>
  <si>
    <t>niche( framing and installing ) price per niche</t>
  </si>
  <si>
    <t>cement board. per sqf(with water proof)</t>
  </si>
  <si>
    <t xml:space="preserve">shower install </t>
  </si>
  <si>
    <t xml:space="preserve">bench </t>
  </si>
  <si>
    <t xml:space="preserve"> replace  and install damaged  2by4</t>
  </si>
  <si>
    <t xml:space="preserve">walking shower </t>
  </si>
  <si>
    <t xml:space="preserve">floor prep price( self leveling  30 per bag  application) if necessary </t>
  </si>
  <si>
    <t xml:space="preserve">floor prep price grinder  60/ hour/ if necessary </t>
  </si>
  <si>
    <t>mosaic band price $350 up to  15 linear feet .</t>
  </si>
  <si>
    <t>Subtotal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</si>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</sst>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14" fillId="3" fontId="3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44061.0</v>
      </c>
    </row>
    <row r="3">
      <c r="A3" s="3" t="s">
        <v>4</v>
      </c>
      <c r="F3" s="4" t="s">
        <v>5</v>
      </c>
      <c r="H3" s="3">
        <v>2022.0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>
        <v>1.0</v>
      </c>
      <c r="H15" s="29">
        <f>550</f>
        <v>550</v>
      </c>
      <c r="I15" s="11"/>
    </row>
    <row r="16" ht="15.0" customHeight="1">
      <c r="A16" s="30" t="s">
        <v>26</v>
      </c>
      <c r="E16" s="20"/>
      <c r="F16" s="31">
        <v>145.0</v>
      </c>
      <c r="G16" s="31">
        <v>3.7</v>
      </c>
      <c r="H16" s="32">
        <f>G16*F16</f>
        <v>536.5</v>
      </c>
      <c r="I16" s="11"/>
    </row>
    <row r="17" ht="15.0" customHeight="1">
      <c r="A17" s="30" t="s">
        <v>27</v>
      </c>
      <c r="E17" s="20"/>
      <c r="F17" s="31">
        <v>100.0</v>
      </c>
      <c r="G17" s="31">
        <v>12.0</v>
      </c>
      <c r="H17" s="31">
        <f>F17*G17</f>
        <v>1200</v>
      </c>
      <c r="I17" s="11"/>
    </row>
    <row r="18" ht="15.0" customHeight="1">
      <c r="A18" s="30" t="s">
        <v>28</v>
      </c>
      <c r="E18" s="20"/>
      <c r="F18" s="31">
        <v>3.0</v>
      </c>
      <c r="G18" s="31">
        <v>350.0</v>
      </c>
      <c r="H18" s="31">
        <f t="shared" ref="H18:H19" si="1">G18*F18</f>
        <v>1050</v>
      </c>
      <c r="I18" s="11"/>
    </row>
    <row r="19" ht="15.0" customHeight="1">
      <c r="A19" s="30" t="s">
        <v>29</v>
      </c>
      <c r="E19" s="20"/>
      <c r="F19" s="31">
        <v>100.0</v>
      </c>
      <c r="G19" s="31">
        <v>2.5</v>
      </c>
      <c r="H19" s="32">
        <f t="shared" si="1"/>
        <v>250</v>
      </c>
      <c r="I19" s="11"/>
    </row>
    <row r="20" ht="15.0" customHeight="1">
      <c r="A20" s="30" t="s">
        <v>30</v>
      </c>
      <c r="E20" s="20"/>
      <c r="F20" s="31">
        <v>18.38</v>
      </c>
      <c r="G20" s="31">
        <v>23.0</v>
      </c>
      <c r="H20" s="31">
        <f>G20*G20</f>
        <v>529</v>
      </c>
      <c r="I20" s="11"/>
    </row>
    <row r="21" ht="15.0" customHeight="1">
      <c r="A21" s="30" t="s">
        <v>31</v>
      </c>
      <c r="E21" s="20"/>
      <c r="F21" s="31">
        <v>1.0</v>
      </c>
      <c r="G21" s="31">
        <v>250.0</v>
      </c>
      <c r="H21" s="31">
        <v>250.0</v>
      </c>
      <c r="I21" s="11"/>
    </row>
    <row r="22" ht="15.0" customHeight="1">
      <c r="A22" s="30" t="s">
        <v>32</v>
      </c>
      <c r="E22" s="20"/>
      <c r="F22" s="31">
        <v>3.0</v>
      </c>
      <c r="G22" s="31">
        <v>30.0</v>
      </c>
      <c r="H22" s="32">
        <f>G22*F22</f>
        <v>90</v>
      </c>
      <c r="I22" s="11"/>
    </row>
    <row r="23" ht="15.0" customHeight="1">
      <c r="A23" s="30" t="s">
        <v>33</v>
      </c>
      <c r="E23" s="20"/>
      <c r="F23" s="31">
        <v>1.0</v>
      </c>
      <c r="G23" s="31">
        <v>200.0</v>
      </c>
      <c r="H23" s="31">
        <v>200.0</v>
      </c>
      <c r="I23" s="11"/>
    </row>
    <row r="24" ht="15.0" customHeight="1">
      <c r="A24" s="30" t="s">
        <v>34</v>
      </c>
      <c r="E24" s="20"/>
      <c r="F24" s="31"/>
      <c r="G24" s="31"/>
      <c r="H24" s="32"/>
      <c r="I24" s="11"/>
    </row>
    <row r="25" ht="15.0" customHeight="1">
      <c r="A25" s="30" t="s">
        <v>35</v>
      </c>
      <c r="E25" s="20"/>
      <c r="F25" s="33"/>
      <c r="G25" s="33"/>
      <c r="H25" s="34"/>
      <c r="I25" s="11"/>
    </row>
    <row r="26" ht="15.0" customHeight="1">
      <c r="A26" s="30" t="s">
        <v>36</v>
      </c>
      <c r="E26" s="20"/>
      <c r="F26" s="35" t="s">
        <v>37</v>
      </c>
      <c r="G26" s="10"/>
      <c r="H26" s="34">
        <f>H15+H16+H17+H18+H19+H20+H21+H22+H23</f>
        <v>4655.5</v>
      </c>
      <c r="I26" s="11"/>
    </row>
    <row r="27" ht="15.0" customHeight="1">
      <c r="A27" s="36"/>
      <c r="B27" s="7"/>
      <c r="C27" s="7"/>
      <c r="D27" s="7"/>
      <c r="E27" s="24"/>
      <c r="F27" s="37"/>
      <c r="G27" s="38"/>
      <c r="H27" s="39"/>
      <c r="I27" s="11"/>
    </row>
    <row r="28">
      <c r="A28" s="14"/>
      <c r="B28" s="14"/>
      <c r="C28" s="14"/>
      <c r="D28" s="16"/>
      <c r="E28" s="40" t="s">
        <v>38</v>
      </c>
      <c r="F28" s="9"/>
      <c r="G28" s="41"/>
      <c r="H28" s="42">
        <f>H26+H27</f>
        <v>4655.5</v>
      </c>
      <c r="I28" s="11"/>
    </row>
    <row r="29">
      <c r="E29" s="14"/>
      <c r="F29" s="14"/>
      <c r="G29" s="14"/>
      <c r="H29" s="14"/>
    </row>
    <row r="30">
      <c r="A30" s="3" t="s">
        <v>39</v>
      </c>
    </row>
    <row r="31">
      <c r="A31" s="3" t="s">
        <v>40</v>
      </c>
    </row>
    <row r="32">
      <c r="A32" s="3" t="s">
        <v>41</v>
      </c>
    </row>
    <row r="34">
      <c r="A34" s="43" t="s">
        <v>42</v>
      </c>
    </row>
    <row r="35">
      <c r="A35" s="44" t="s">
        <v>43</v>
      </c>
    </row>
    <row r="36">
      <c r="A36" s="45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F26:G26"/>
    <mergeCell ref="A35:H35"/>
    <mergeCell ref="A36:G36"/>
    <mergeCell ref="A26:E26"/>
    <mergeCell ref="A27:E27"/>
    <mergeCell ref="E28:F28"/>
    <mergeCell ref="A30:E30"/>
    <mergeCell ref="A31:E31"/>
    <mergeCell ref="A32:E32"/>
    <mergeCell ref="A34:H34"/>
  </mergeCells>
  <drawing r:id="rId1"/>
</worksheet>
</file>