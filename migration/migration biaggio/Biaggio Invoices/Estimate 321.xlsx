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rage" sheetId="1" r:id="rId4"/>
    <sheet state="visible" name="guest bath" sheetId="2" r:id="rId5"/>
    <sheet state="visible" name="ashley room" sheetId="3" r:id="rId6"/>
    <sheet state="visible" name="living room" sheetId="4" r:id="rId7"/>
    <sheet state="visible" name="kitchen" sheetId="5" r:id="rId8"/>
    <sheet state="visible" name="master" sheetId="6" r:id="rId9"/>
    <sheet state="visible" name="Sheet2" sheetId="7" r:id="rId10"/>
  </sheets>
  <definedNames/>
  <calcPr/>
</workbook>
</file>

<file path=xl/sharedStrings.xml><?xml version="1.0" encoding="utf-8"?>
<sst xmlns="http://schemas.openxmlformats.org/spreadsheetml/2006/main" count="250" uniqueCount="72">
  <si>
    <t>Biaggio Flooring LLC</t>
  </si>
  <si>
    <t>Estimate</t>
  </si>
  <si>
    <t>2314 Lake Debra dr #2314</t>
  </si>
  <si>
    <t>DATE:</t>
  </si>
  <si>
    <t>Orlando Fl 32835</t>
  </si>
  <si>
    <t>Estimate #:</t>
  </si>
  <si>
    <t>Phone: 321-6821090</t>
  </si>
  <si>
    <t>Representative:</t>
  </si>
  <si>
    <t>Terms:</t>
  </si>
  <si>
    <t>Project ID:</t>
  </si>
  <si>
    <t>garage / laundry</t>
  </si>
  <si>
    <t>garage 275 sqf</t>
  </si>
  <si>
    <t>laundry 100 sqf</t>
  </si>
  <si>
    <t>Customer Information</t>
  </si>
  <si>
    <t>Name:</t>
  </si>
  <si>
    <t>Amy</t>
  </si>
  <si>
    <t>Phone:</t>
  </si>
  <si>
    <t>Address:</t>
  </si>
  <si>
    <t>Cell:</t>
  </si>
  <si>
    <t>City, St. Zip:</t>
  </si>
  <si>
    <t>Email:</t>
  </si>
  <si>
    <t>Description</t>
  </si>
  <si>
    <t>Qty</t>
  </si>
  <si>
    <t>Price</t>
  </si>
  <si>
    <t>Amount</t>
  </si>
  <si>
    <t>garage demo labor</t>
  </si>
  <si>
    <t>laundry demo labor</t>
  </si>
  <si>
    <t>garage concrete leveling labor</t>
  </si>
  <si>
    <t>laundry concrete leveling labor</t>
  </si>
  <si>
    <t>garage. floor instalation labor</t>
  </si>
  <si>
    <t>laundy floor instalation labor</t>
  </si>
  <si>
    <t xml:space="preserve"> if necessary self level add for labor *  60/bag</t>
  </si>
  <si>
    <t>if necessary grinder add for labor 70 / hour</t>
  </si>
  <si>
    <t>price are for standart instalations any alterations would affect total amount</t>
  </si>
  <si>
    <t>material not included</t>
  </si>
  <si>
    <t>dumpster not included</t>
  </si>
  <si>
    <t>Subtotal</t>
  </si>
  <si>
    <t>6% Sales Tax</t>
  </si>
  <si>
    <t>Total:=</t>
  </si>
  <si>
    <t>Terms: 30% due to order/schedule. Balance due upon completion</t>
  </si>
  <si>
    <t>Make all checks payable to Biaggio Flooring LLC</t>
  </si>
  <si>
    <t>If you have any questions, please call us at 321-682 1090</t>
  </si>
  <si>
    <t>Thank you</t>
  </si>
  <si>
    <t>May God Bless,</t>
  </si>
  <si>
    <t>guest bath</t>
  </si>
  <si>
    <t>floor 30sqf</t>
  </si>
  <si>
    <t>wall 77sqf</t>
  </si>
  <si>
    <t>bath demo labor</t>
  </si>
  <si>
    <t>basic floor instalations</t>
  </si>
  <si>
    <t>basic wall instalation</t>
  </si>
  <si>
    <t>ashley room/ tv room</t>
  </si>
  <si>
    <t>ashley 171 sqf</t>
  </si>
  <si>
    <t>tv room 189 sqf</t>
  </si>
  <si>
    <t>ashley room demo labor</t>
  </si>
  <si>
    <t xml:space="preserve"> ashley roombasic floor instalations</t>
  </si>
  <si>
    <t>tv room demo</t>
  </si>
  <si>
    <t>tv room basic instalation</t>
  </si>
  <si>
    <t>livinh</t>
  </si>
  <si>
    <t>floor 648.30</t>
  </si>
  <si>
    <t>fireplace 68</t>
  </si>
  <si>
    <t>living room demo labor</t>
  </si>
  <si>
    <t>fireplace demo</t>
  </si>
  <si>
    <t>fireplace instalations</t>
  </si>
  <si>
    <t>kitchen</t>
  </si>
  <si>
    <t>floor 216</t>
  </si>
  <si>
    <t>kitchen room demo labor</t>
  </si>
  <si>
    <t>master</t>
  </si>
  <si>
    <t>room208</t>
  </si>
  <si>
    <t>bath 134( floor)</t>
  </si>
  <si>
    <t xml:space="preserve"> room demo labor</t>
  </si>
  <si>
    <t>bath floor demo</t>
  </si>
  <si>
    <t>master bathroom floor  instalations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</si>
</sst>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8">
    <font>
      <sz val="10.0"/>
      <color rgb="FF000000"/>
      <name val="Arial"/>
    </font>
    <font>
      <sz val="18.0"/>
    </font>
    <font/>
    <font>
      <sz val="18.0"/>
      <color rgb="FF99CCFF"/>
    </font>
    <font>
      <b/>
      <sz val="10.0"/>
    </font>
    <font>
      <b/>
      <sz val="10.0"/>
      <color rgb="FF000000"/>
    </font>
    <font>
      <sz val="12.0"/>
    </font>
    <font>
      <b/>
      <sz val="12.0"/>
    </font>
  </fonts>
  <fills count="7">
    <fill>
      <patternFill patternType="none"/>
    </fill>
    <fill>
      <patternFill patternType="lightGray"/>
    </fill>
    <fill>
      <patternFill patternType="solid">
        <fgColor rgb="FF5B95F9"/>
        <bgColor rgb="FF5B95F9"/>
      </patternFill>
    </fill>
    <fill>
      <patternFill patternType="solid">
        <fgColor rgb="FFFFFFFF"/>
        <bgColor rgb="FFFFFFFF"/>
      </patternFill>
    </fill>
    <fill>
      <patternFill patternType="solid">
        <fgColor rgb="FFE8F0FE"/>
        <bgColor rgb="FFE8F0FE"/>
      </patternFill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</fills>
  <borders count="16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1"/>
    </xf>
    <xf borderId="0" fillId="2" fontId="1" numFmtId="0" xfId="0" applyAlignment="1" applyFill="1" applyFont="1">
      <alignment horizontal="left" readingOrder="0" shrinkToFit="0" vertical="bottom" wrapText="1"/>
    </xf>
    <xf borderId="0" fillId="2" fontId="2" numFmtId="0" xfId="0" applyAlignment="1" applyFont="1">
      <alignment shrinkToFit="0" wrapText="1"/>
    </xf>
    <xf borderId="0" fillId="2" fontId="3" numFmtId="0" xfId="0" applyAlignment="1" applyFont="1">
      <alignment horizontal="center" readingOrder="0" shrinkToFit="0" vertical="bottom" wrapText="1"/>
    </xf>
    <xf borderId="0" fillId="3" fontId="2" numFmtId="0" xfId="0" applyAlignment="1" applyFill="1" applyFont="1">
      <alignment readingOrder="0" shrinkToFit="0" wrapText="1"/>
    </xf>
    <xf borderId="0" fillId="3" fontId="2" numFmtId="0" xfId="0" applyAlignment="1" applyFont="1">
      <alignment shrinkToFit="0" wrapText="1"/>
    </xf>
    <xf borderId="0" fillId="3" fontId="4" numFmtId="0" xfId="0" applyAlignment="1" applyFont="1">
      <alignment horizontal="right" readingOrder="0" shrinkToFit="0" vertical="bottom" wrapText="1"/>
    </xf>
    <xf borderId="0" fillId="3" fontId="2" numFmtId="164" xfId="0" applyAlignment="1" applyFont="1" applyNumberFormat="1">
      <alignment readingOrder="0" shrinkToFit="0" wrapText="1"/>
    </xf>
    <xf borderId="0" fillId="4" fontId="2" numFmtId="0" xfId="0" applyAlignment="1" applyFill="1" applyFont="1">
      <alignment readingOrder="0" shrinkToFit="0" wrapText="1"/>
    </xf>
    <xf borderId="0" fillId="4" fontId="2" numFmtId="0" xfId="0" applyAlignment="1" applyFont="1">
      <alignment shrinkToFit="0" wrapText="1"/>
    </xf>
    <xf borderId="0" fillId="4" fontId="4" numFmtId="0" xfId="0" applyAlignment="1" applyFont="1">
      <alignment horizontal="right" readingOrder="0" shrinkToFit="0" vertical="bottom" wrapText="1"/>
    </xf>
    <xf borderId="0" fillId="3" fontId="2" numFmtId="0" xfId="0" applyAlignment="1" applyFont="1">
      <alignment horizontal="right" readingOrder="0" shrinkToFit="0" vertical="bottom" wrapText="1"/>
    </xf>
    <xf borderId="0" fillId="4" fontId="2" numFmtId="0" xfId="0" applyAlignment="1" applyFont="1">
      <alignment horizontal="right" readingOrder="0" shrinkToFit="0" vertical="bottom" wrapText="1"/>
    </xf>
    <xf borderId="1" fillId="3" fontId="2" numFmtId="0" xfId="0" applyAlignment="1" applyBorder="1" applyFont="1">
      <alignment readingOrder="0" shrinkToFit="0" wrapText="1"/>
    </xf>
    <xf borderId="1" fillId="3" fontId="2" numFmtId="0" xfId="0" applyAlignment="1" applyBorder="1" applyFont="1">
      <alignment shrinkToFit="0" wrapText="1"/>
    </xf>
    <xf borderId="2" fillId="4" fontId="5" numFmtId="0" xfId="0" applyAlignment="1" applyBorder="1" applyFont="1">
      <alignment horizontal="center" readingOrder="0" shrinkToFit="0" vertical="bottom" wrapText="1"/>
    </xf>
    <xf borderId="3" fillId="4" fontId="2" numFmtId="0" xfId="0" applyAlignment="1" applyBorder="1" applyFont="1">
      <alignment shrinkToFit="0" wrapText="1"/>
    </xf>
    <xf borderId="4" fillId="4" fontId="2" numFmtId="0" xfId="0" applyAlignment="1" applyBorder="1" applyFont="1">
      <alignment shrinkToFit="0" wrapText="1"/>
    </xf>
    <xf borderId="5" fillId="0" fontId="2" numFmtId="0" xfId="0" applyAlignment="1" applyBorder="1" applyFont="1">
      <alignment shrinkToFit="0" wrapText="1"/>
    </xf>
    <xf borderId="6" fillId="3" fontId="2" numFmtId="0" xfId="0" applyAlignment="1" applyBorder="1" applyFont="1">
      <alignment readingOrder="0" shrinkToFit="0" wrapText="1"/>
    </xf>
    <xf borderId="7" fillId="3" fontId="2" numFmtId="0" xfId="0" applyAlignment="1" applyBorder="1" applyFont="1">
      <alignment readingOrder="0" shrinkToFit="0" wrapText="1"/>
    </xf>
    <xf borderId="7" fillId="3" fontId="2" numFmtId="0" xfId="0" applyAlignment="1" applyBorder="1" applyFont="1">
      <alignment shrinkToFit="0" wrapText="1"/>
    </xf>
    <xf borderId="7" fillId="3" fontId="2" numFmtId="0" xfId="0" applyAlignment="1" applyBorder="1" applyFont="1">
      <alignment readingOrder="0" shrinkToFit="0" wrapText="1"/>
    </xf>
    <xf borderId="8" fillId="3" fontId="2" numFmtId="0" xfId="0" applyAlignment="1" applyBorder="1" applyFont="1">
      <alignment shrinkToFit="0" wrapText="1"/>
    </xf>
    <xf borderId="5" fillId="4" fontId="2" numFmtId="0" xfId="0" applyAlignment="1" applyBorder="1" applyFont="1">
      <alignment readingOrder="0" shrinkToFit="0" wrapText="1"/>
    </xf>
    <xf borderId="0" fillId="4" fontId="2" numFmtId="0" xfId="0" applyAlignment="1" applyFont="1">
      <alignment readingOrder="0" shrinkToFit="0" wrapText="1"/>
    </xf>
    <xf borderId="9" fillId="4" fontId="2" numFmtId="0" xfId="0" applyAlignment="1" applyBorder="1" applyFont="1">
      <alignment shrinkToFit="0" wrapText="1"/>
    </xf>
    <xf borderId="10" fillId="3" fontId="2" numFmtId="0" xfId="0" applyAlignment="1" applyBorder="1" applyFont="1">
      <alignment readingOrder="0" shrinkToFit="0" wrapText="1"/>
    </xf>
    <xf borderId="1" fillId="3" fontId="2" numFmtId="0" xfId="0" applyAlignment="1" applyBorder="1" applyFont="1">
      <alignment readingOrder="0" shrinkToFit="0" wrapText="1"/>
    </xf>
    <xf borderId="11" fillId="3" fontId="2" numFmtId="0" xfId="0" applyAlignment="1" applyBorder="1" applyFont="1">
      <alignment shrinkToFit="0" wrapText="1"/>
    </xf>
    <xf borderId="3" fillId="0" fontId="2" numFmtId="0" xfId="0" applyAlignment="1" applyBorder="1" applyFont="1">
      <alignment shrinkToFit="0" wrapText="1"/>
    </xf>
    <xf borderId="2" fillId="5" fontId="6" numFmtId="0" xfId="0" applyAlignment="1" applyBorder="1" applyFill="1" applyFont="1">
      <alignment horizontal="center" readingOrder="0" shrinkToFit="0" vertical="bottom" wrapText="1"/>
    </xf>
    <xf borderId="12" fillId="5" fontId="6" numFmtId="0" xfId="0" applyAlignment="1" applyBorder="1" applyFont="1">
      <alignment horizontal="center" readingOrder="0" shrinkToFit="0" vertical="bottom" wrapText="1"/>
    </xf>
    <xf borderId="6" fillId="0" fontId="2" numFmtId="0" xfId="0" applyAlignment="1" applyBorder="1" applyFont="1">
      <alignment readingOrder="0" shrinkToFit="0" wrapText="1"/>
    </xf>
    <xf borderId="7" fillId="0" fontId="2" numFmtId="0" xfId="0" applyAlignment="1" applyBorder="1" applyFont="1">
      <alignment shrinkToFit="0" wrapText="1"/>
    </xf>
    <xf borderId="8" fillId="0" fontId="2" numFmtId="0" xfId="0" applyAlignment="1" applyBorder="1" applyFont="1">
      <alignment shrinkToFit="0" wrapText="1"/>
    </xf>
    <xf borderId="13" fillId="0" fontId="2" numFmtId="0" xfId="0" applyAlignment="1" applyBorder="1" applyFont="1">
      <alignment readingOrder="0" shrinkToFit="0" wrapText="1"/>
    </xf>
    <xf borderId="13" fillId="0" fontId="2" numFmtId="0" xfId="0" applyAlignment="1" applyBorder="1" applyFont="1">
      <alignment shrinkToFit="0" wrapText="1"/>
    </xf>
    <xf borderId="5" fillId="0" fontId="2" numFmtId="0" xfId="0" applyAlignment="1" applyBorder="1" applyFont="1">
      <alignment readingOrder="0" shrinkToFit="0" wrapText="1"/>
    </xf>
    <xf borderId="9" fillId="0" fontId="2" numFmtId="0" xfId="0" applyAlignment="1" applyBorder="1" applyFont="1">
      <alignment shrinkToFit="0" wrapText="1"/>
    </xf>
    <xf borderId="14" fillId="0" fontId="2" numFmtId="0" xfId="0" applyAlignment="1" applyBorder="1" applyFont="1">
      <alignment readingOrder="0" shrinkToFit="0" wrapText="1"/>
    </xf>
    <xf borderId="14" fillId="0" fontId="2" numFmtId="0" xfId="0" applyAlignment="1" applyBorder="1" applyFont="1">
      <alignment shrinkToFit="0" wrapText="1"/>
    </xf>
    <xf borderId="15" fillId="0" fontId="2" numFmtId="0" xfId="0" applyAlignment="1" applyBorder="1" applyFont="1">
      <alignment shrinkToFit="0" wrapText="1"/>
    </xf>
    <xf borderId="2" fillId="0" fontId="2" numFmtId="0" xfId="0" applyAlignment="1" applyBorder="1" applyFont="1">
      <alignment readingOrder="0" shrinkToFit="0" wrapText="1"/>
    </xf>
    <xf borderId="4" fillId="0" fontId="2" numFmtId="0" xfId="0" applyAlignment="1" applyBorder="1" applyFont="1">
      <alignment shrinkToFit="0" wrapText="1"/>
    </xf>
    <xf borderId="10" fillId="0" fontId="2" numFmtId="0" xfId="0" applyAlignment="1" applyBorder="1" applyFont="1">
      <alignment shrinkToFit="0" wrapText="1"/>
    </xf>
    <xf borderId="1" fillId="0" fontId="2" numFmtId="0" xfId="0" applyAlignment="1" applyBorder="1" applyFont="1">
      <alignment shrinkToFit="0" wrapText="1"/>
    </xf>
    <xf borderId="11" fillId="0" fontId="2" numFmtId="0" xfId="0" applyAlignment="1" applyBorder="1" applyFont="1">
      <alignment shrinkToFit="0" wrapText="1"/>
    </xf>
    <xf borderId="2" fillId="6" fontId="7" numFmtId="0" xfId="0" applyAlignment="1" applyBorder="1" applyFill="1" applyFont="1">
      <alignment readingOrder="0" shrinkToFit="0" wrapText="1"/>
    </xf>
    <xf borderId="3" fillId="6" fontId="2" numFmtId="0" xfId="0" applyAlignment="1" applyBorder="1" applyFont="1">
      <alignment shrinkToFit="0" wrapText="1"/>
    </xf>
    <xf borderId="4" fillId="6" fontId="2" numFmtId="0" xfId="0" applyAlignment="1" applyBorder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2" numFmtId="0" xfId="0" applyAlignment="1" applyFont="1">
      <alignment horizontal="center" shrinkToFit="0" vertical="bottom" wrapText="1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F1" s="2"/>
      <c r="G1" s="3" t="s">
        <v>1</v>
      </c>
    </row>
    <row r="2">
      <c r="A2" s="4" t="s">
        <v>2</v>
      </c>
      <c r="C2" s="5"/>
      <c r="D2" s="5"/>
      <c r="E2" s="5"/>
      <c r="F2" s="5"/>
      <c r="G2" s="6" t="s">
        <v>3</v>
      </c>
      <c r="H2" s="7">
        <v>43134.0</v>
      </c>
    </row>
    <row r="3">
      <c r="A3" s="8" t="s">
        <v>4</v>
      </c>
      <c r="C3" s="9"/>
      <c r="D3" s="9"/>
      <c r="E3" s="9"/>
      <c r="F3" s="10" t="s">
        <v>5</v>
      </c>
      <c r="H3" s="8">
        <v>321.0</v>
      </c>
    </row>
    <row r="4">
      <c r="A4" s="4" t="s">
        <v>6</v>
      </c>
      <c r="C4" s="5"/>
      <c r="D4" s="5"/>
      <c r="E4" s="5"/>
      <c r="F4" s="11" t="s">
        <v>7</v>
      </c>
      <c r="H4" s="5"/>
    </row>
    <row r="5">
      <c r="A5" s="9"/>
      <c r="B5" s="9"/>
      <c r="C5" s="9"/>
      <c r="D5" s="9"/>
      <c r="E5" s="9"/>
      <c r="F5" s="9"/>
      <c r="G5" s="12" t="s">
        <v>8</v>
      </c>
      <c r="H5" s="9"/>
    </row>
    <row r="6">
      <c r="A6" s="5"/>
      <c r="B6" s="5"/>
      <c r="C6" s="5"/>
      <c r="D6" s="5"/>
      <c r="E6" s="5"/>
      <c r="F6" s="11" t="s">
        <v>9</v>
      </c>
      <c r="H6" s="4" t="s">
        <v>10</v>
      </c>
    </row>
    <row r="7">
      <c r="A7" s="8" t="s">
        <v>11</v>
      </c>
      <c r="B7" s="9"/>
      <c r="C7" s="9"/>
      <c r="D7" s="9"/>
      <c r="E7" s="9"/>
      <c r="F7" s="9"/>
      <c r="G7" s="9"/>
      <c r="H7" s="9"/>
    </row>
    <row r="8">
      <c r="A8" s="13" t="s">
        <v>12</v>
      </c>
      <c r="B8" s="14"/>
      <c r="C8" s="14"/>
      <c r="D8" s="14"/>
      <c r="E8" s="14"/>
      <c r="F8" s="14"/>
      <c r="G8" s="14"/>
      <c r="H8" s="14"/>
    </row>
    <row r="9">
      <c r="A9" s="15" t="s">
        <v>13</v>
      </c>
      <c r="B9" s="16"/>
      <c r="C9" s="16"/>
      <c r="D9" s="16"/>
      <c r="E9" s="16"/>
      <c r="F9" s="16"/>
      <c r="G9" s="16"/>
      <c r="H9" s="17"/>
      <c r="I9" s="18"/>
    </row>
    <row r="10">
      <c r="A10" s="19" t="s">
        <v>14</v>
      </c>
      <c r="B10" s="20" t="s">
        <v>15</v>
      </c>
      <c r="C10" s="21"/>
      <c r="D10" s="21"/>
      <c r="E10" s="21"/>
      <c r="F10" s="22" t="s">
        <v>16</v>
      </c>
      <c r="G10" s="21"/>
      <c r="H10" s="23"/>
      <c r="I10" s="18"/>
    </row>
    <row r="11">
      <c r="A11" s="24" t="s">
        <v>17</v>
      </c>
      <c r="B11" s="9"/>
      <c r="F11" s="25" t="s">
        <v>18</v>
      </c>
      <c r="G11" s="9"/>
      <c r="H11" s="26"/>
      <c r="I11" s="18"/>
    </row>
    <row r="12">
      <c r="A12" s="27" t="s">
        <v>19</v>
      </c>
      <c r="B12" s="14"/>
      <c r="C12" s="14"/>
      <c r="D12" s="14"/>
      <c r="E12" s="14"/>
      <c r="F12" s="28" t="s">
        <v>20</v>
      </c>
      <c r="G12" s="14"/>
      <c r="H12" s="29"/>
      <c r="I12" s="18"/>
    </row>
    <row r="13">
      <c r="A13" s="30"/>
      <c r="B13" s="30"/>
      <c r="C13" s="30"/>
      <c r="D13" s="30"/>
      <c r="E13" s="30"/>
      <c r="F13" s="30"/>
      <c r="G13" s="30"/>
      <c r="H13" s="30"/>
    </row>
    <row r="14">
      <c r="A14" s="31" t="s">
        <v>21</v>
      </c>
      <c r="B14" s="30"/>
      <c r="C14" s="30"/>
      <c r="D14" s="30"/>
      <c r="E14" s="30"/>
      <c r="F14" s="32" t="s">
        <v>22</v>
      </c>
      <c r="G14" s="32" t="s">
        <v>23</v>
      </c>
      <c r="H14" s="32" t="s">
        <v>24</v>
      </c>
      <c r="I14" s="18"/>
    </row>
    <row r="15" ht="15.0" customHeight="1">
      <c r="A15" s="33" t="s">
        <v>25</v>
      </c>
      <c r="B15" s="34"/>
      <c r="C15" s="34"/>
      <c r="D15" s="34"/>
      <c r="E15" s="35"/>
      <c r="F15" s="36">
        <v>275.0</v>
      </c>
      <c r="G15" s="36">
        <v>0.5</v>
      </c>
      <c r="H15" s="37">
        <f t="shared" ref="H15:H20" si="1">F15*G15</f>
        <v>137.5</v>
      </c>
      <c r="I15" s="18"/>
    </row>
    <row r="16" ht="15.0" customHeight="1">
      <c r="A16" s="38" t="s">
        <v>26</v>
      </c>
      <c r="E16" s="39"/>
      <c r="F16" s="40">
        <v>100.0</v>
      </c>
      <c r="G16" s="40">
        <v>0.5</v>
      </c>
      <c r="H16" s="41">
        <f t="shared" si="1"/>
        <v>50</v>
      </c>
      <c r="I16" s="18"/>
    </row>
    <row r="17" ht="15.0" customHeight="1">
      <c r="A17" s="38" t="s">
        <v>27</v>
      </c>
      <c r="E17" s="39"/>
      <c r="F17" s="40">
        <v>275.0</v>
      </c>
      <c r="G17" s="40">
        <v>2.65</v>
      </c>
      <c r="H17" s="41">
        <f t="shared" si="1"/>
        <v>728.75</v>
      </c>
      <c r="I17" s="18"/>
    </row>
    <row r="18" ht="15.0" customHeight="1">
      <c r="A18" s="38" t="s">
        <v>28</v>
      </c>
      <c r="E18" s="39"/>
      <c r="F18" s="40">
        <v>100.0</v>
      </c>
      <c r="G18" s="40">
        <v>2.65</v>
      </c>
      <c r="H18" s="41">
        <f t="shared" si="1"/>
        <v>265</v>
      </c>
      <c r="I18" s="18"/>
    </row>
    <row r="19" ht="15.0" customHeight="1">
      <c r="A19" s="38" t="s">
        <v>29</v>
      </c>
      <c r="E19" s="39"/>
      <c r="F19" s="40">
        <v>275.0</v>
      </c>
      <c r="G19" s="40">
        <v>2.75</v>
      </c>
      <c r="H19" s="41">
        <f t="shared" si="1"/>
        <v>756.25</v>
      </c>
      <c r="I19" s="18"/>
    </row>
    <row r="20" ht="15.0" customHeight="1">
      <c r="A20" s="38" t="s">
        <v>30</v>
      </c>
      <c r="E20" s="39"/>
      <c r="F20" s="40">
        <v>100.0</v>
      </c>
      <c r="G20" s="40">
        <v>2.75</v>
      </c>
      <c r="H20" s="41">
        <f t="shared" si="1"/>
        <v>275</v>
      </c>
      <c r="I20" s="18"/>
    </row>
    <row r="21" ht="15.0" customHeight="1">
      <c r="A21" s="18"/>
      <c r="E21" s="39"/>
      <c r="F21" s="41"/>
      <c r="G21" s="41"/>
      <c r="H21" s="41"/>
      <c r="I21" s="18"/>
    </row>
    <row r="22" ht="15.0" customHeight="1">
      <c r="A22" s="38" t="s">
        <v>31</v>
      </c>
      <c r="E22" s="39"/>
      <c r="F22" s="41"/>
      <c r="G22" s="41"/>
      <c r="H22" s="41"/>
      <c r="I22" s="18"/>
    </row>
    <row r="23" ht="15.0" customHeight="1">
      <c r="A23" s="38" t="s">
        <v>32</v>
      </c>
      <c r="E23" s="39"/>
      <c r="F23" s="41"/>
      <c r="G23" s="41"/>
      <c r="H23" s="41"/>
      <c r="I23" s="18"/>
    </row>
    <row r="24" ht="15.0" customHeight="1">
      <c r="A24" s="18"/>
      <c r="E24" s="39"/>
      <c r="F24" s="41"/>
      <c r="G24" s="41"/>
      <c r="H24" s="41"/>
      <c r="I24" s="18"/>
    </row>
    <row r="25" ht="15.0" customHeight="1">
      <c r="A25" s="38" t="s">
        <v>33</v>
      </c>
      <c r="E25" s="39"/>
      <c r="F25" s="41"/>
      <c r="G25" s="41"/>
      <c r="H25" s="41"/>
      <c r="I25" s="18"/>
    </row>
    <row r="26" ht="15.0" customHeight="1">
      <c r="A26" s="38" t="s">
        <v>34</v>
      </c>
      <c r="E26" s="39"/>
      <c r="F26" s="41"/>
      <c r="G26" s="41"/>
      <c r="H26" s="41"/>
      <c r="I26" s="18"/>
    </row>
    <row r="27" ht="15.0" customHeight="1">
      <c r="A27" s="38" t="s">
        <v>35</v>
      </c>
      <c r="E27" s="39"/>
      <c r="F27" s="42"/>
      <c r="G27" s="42"/>
      <c r="H27" s="41"/>
      <c r="I27" s="18"/>
    </row>
    <row r="28" ht="15.0" customHeight="1">
      <c r="A28" s="18"/>
      <c r="E28" s="39"/>
      <c r="F28" s="43" t="s">
        <v>36</v>
      </c>
      <c r="G28" s="44"/>
      <c r="H28" s="41"/>
      <c r="I28" s="18"/>
    </row>
    <row r="29" ht="15.0" customHeight="1">
      <c r="A29" s="45"/>
      <c r="B29" s="46"/>
      <c r="C29" s="46"/>
      <c r="D29" s="46"/>
      <c r="E29" s="47"/>
      <c r="F29" s="43" t="s">
        <v>37</v>
      </c>
      <c r="G29" s="44"/>
      <c r="H29" s="42"/>
      <c r="I29" s="18"/>
    </row>
    <row r="30">
      <c r="A30" s="34"/>
      <c r="B30" s="34"/>
      <c r="C30" s="34"/>
      <c r="D30" s="35"/>
      <c r="E30" s="48" t="s">
        <v>38</v>
      </c>
      <c r="F30" s="30"/>
      <c r="G30" s="49"/>
      <c r="H30" s="50">
        <f>H15+H16+H17+H18+H19+H20</f>
        <v>2212.5</v>
      </c>
      <c r="I30" s="18"/>
    </row>
    <row r="31">
      <c r="E31" s="34"/>
      <c r="F31" s="34"/>
      <c r="G31" s="34"/>
      <c r="H31" s="34"/>
    </row>
    <row r="32">
      <c r="A32" s="51" t="s">
        <v>39</v>
      </c>
    </row>
    <row r="33">
      <c r="A33" s="51" t="s">
        <v>40</v>
      </c>
    </row>
    <row r="34">
      <c r="A34" s="51" t="s">
        <v>41</v>
      </c>
    </row>
    <row r="36">
      <c r="A36" s="52" t="s">
        <v>42</v>
      </c>
    </row>
    <row r="37">
      <c r="A37" s="53" t="s">
        <v>43</v>
      </c>
    </row>
    <row r="38">
      <c r="A38" s="54"/>
    </row>
  </sheetData>
  <mergeCells count="40">
    <mergeCell ref="A1:E1"/>
    <mergeCell ref="G1:H1"/>
    <mergeCell ref="A2:B2"/>
    <mergeCell ref="A3:B3"/>
    <mergeCell ref="F3:G3"/>
    <mergeCell ref="A4:B4"/>
    <mergeCell ref="F4:G4"/>
    <mergeCell ref="A28:E28"/>
    <mergeCell ref="F28:G28"/>
    <mergeCell ref="A29:E29"/>
    <mergeCell ref="F29:G29"/>
    <mergeCell ref="A27:E27"/>
    <mergeCell ref="A20:E20"/>
    <mergeCell ref="A21:E21"/>
    <mergeCell ref="A22:E22"/>
    <mergeCell ref="A23:E23"/>
    <mergeCell ref="A24:E24"/>
    <mergeCell ref="A25:E25"/>
    <mergeCell ref="A26:E26"/>
    <mergeCell ref="A33:E33"/>
    <mergeCell ref="A34:E34"/>
    <mergeCell ref="A36:H36"/>
    <mergeCell ref="A37:H37"/>
    <mergeCell ref="A38:G38"/>
    <mergeCell ref="A32:E32"/>
    <mergeCell ref="E30:F30"/>
    <mergeCell ref="B12:E12"/>
    <mergeCell ref="A14:E14"/>
    <mergeCell ref="A15:E15"/>
    <mergeCell ref="A16:E16"/>
    <mergeCell ref="A17:E17"/>
    <mergeCell ref="A18:E18"/>
    <mergeCell ref="A19:E19"/>
    <mergeCell ref="F6:G6"/>
    <mergeCell ref="A9:H9"/>
    <mergeCell ref="B10:E10"/>
    <mergeCell ref="G10:H10"/>
    <mergeCell ref="B11:E11"/>
    <mergeCell ref="G11:H11"/>
    <mergeCell ref="G12:H1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F1" s="2"/>
      <c r="G1" s="3" t="s">
        <v>1</v>
      </c>
    </row>
    <row r="2">
      <c r="A2" s="4" t="s">
        <v>2</v>
      </c>
      <c r="C2" s="5"/>
      <c r="D2" s="5"/>
      <c r="E2" s="5"/>
      <c r="F2" s="5"/>
      <c r="G2" s="6" t="s">
        <v>3</v>
      </c>
      <c r="H2" s="7">
        <v>43134.0</v>
      </c>
    </row>
    <row r="3">
      <c r="A3" s="8" t="s">
        <v>4</v>
      </c>
      <c r="C3" s="9"/>
      <c r="D3" s="9"/>
      <c r="E3" s="9"/>
      <c r="F3" s="10" t="s">
        <v>5</v>
      </c>
      <c r="H3" s="8">
        <v>322.0</v>
      </c>
    </row>
    <row r="4">
      <c r="A4" s="4" t="s">
        <v>6</v>
      </c>
      <c r="C4" s="5"/>
      <c r="D4" s="5"/>
      <c r="E4" s="5"/>
      <c r="F4" s="11" t="s">
        <v>7</v>
      </c>
      <c r="H4" s="5"/>
    </row>
    <row r="5">
      <c r="A5" s="9"/>
      <c r="B5" s="9"/>
      <c r="C5" s="9"/>
      <c r="D5" s="9"/>
      <c r="E5" s="9"/>
      <c r="F5" s="9"/>
      <c r="G5" s="12" t="s">
        <v>8</v>
      </c>
      <c r="H5" s="9"/>
    </row>
    <row r="6">
      <c r="A6" s="5"/>
      <c r="B6" s="5"/>
      <c r="C6" s="5"/>
      <c r="D6" s="5"/>
      <c r="E6" s="5"/>
      <c r="F6" s="11" t="s">
        <v>9</v>
      </c>
      <c r="H6" s="4" t="s">
        <v>44</v>
      </c>
    </row>
    <row r="7">
      <c r="A7" s="8" t="s">
        <v>45</v>
      </c>
      <c r="B7" s="9"/>
      <c r="C7" s="9"/>
      <c r="D7" s="9"/>
      <c r="E7" s="9"/>
      <c r="F7" s="9"/>
      <c r="G7" s="9"/>
      <c r="H7" s="9"/>
    </row>
    <row r="8">
      <c r="A8" s="13" t="s">
        <v>46</v>
      </c>
      <c r="B8" s="14"/>
      <c r="C8" s="14"/>
      <c r="D8" s="14"/>
      <c r="E8" s="14"/>
      <c r="F8" s="14"/>
      <c r="G8" s="14"/>
      <c r="H8" s="14"/>
    </row>
    <row r="9">
      <c r="A9" s="15" t="s">
        <v>13</v>
      </c>
      <c r="B9" s="16"/>
      <c r="C9" s="16"/>
      <c r="D9" s="16"/>
      <c r="E9" s="16"/>
      <c r="F9" s="16"/>
      <c r="G9" s="16"/>
      <c r="H9" s="17"/>
      <c r="I9" s="18"/>
    </row>
    <row r="10">
      <c r="A10" s="19" t="s">
        <v>14</v>
      </c>
      <c r="B10" s="20" t="s">
        <v>15</v>
      </c>
      <c r="C10" s="21"/>
      <c r="D10" s="21"/>
      <c r="E10" s="21"/>
      <c r="F10" s="22" t="s">
        <v>16</v>
      </c>
      <c r="G10" s="21"/>
      <c r="H10" s="23"/>
      <c r="I10" s="18"/>
    </row>
    <row r="11">
      <c r="A11" s="24" t="s">
        <v>17</v>
      </c>
      <c r="B11" s="9"/>
      <c r="F11" s="25" t="s">
        <v>18</v>
      </c>
      <c r="G11" s="9"/>
      <c r="H11" s="26"/>
      <c r="I11" s="18"/>
    </row>
    <row r="12">
      <c r="A12" s="27" t="s">
        <v>19</v>
      </c>
      <c r="B12" s="14"/>
      <c r="C12" s="14"/>
      <c r="D12" s="14"/>
      <c r="E12" s="14"/>
      <c r="F12" s="28" t="s">
        <v>20</v>
      </c>
      <c r="G12" s="14"/>
      <c r="H12" s="29"/>
      <c r="I12" s="18"/>
    </row>
    <row r="13">
      <c r="A13" s="30"/>
      <c r="B13" s="30"/>
      <c r="C13" s="30"/>
      <c r="D13" s="30"/>
      <c r="E13" s="30"/>
      <c r="F13" s="30"/>
      <c r="G13" s="30"/>
      <c r="H13" s="30"/>
    </row>
    <row r="14">
      <c r="A14" s="31" t="s">
        <v>21</v>
      </c>
      <c r="B14" s="30"/>
      <c r="C14" s="30"/>
      <c r="D14" s="30"/>
      <c r="E14" s="30"/>
      <c r="F14" s="32" t="s">
        <v>22</v>
      </c>
      <c r="G14" s="32" t="s">
        <v>23</v>
      </c>
      <c r="H14" s="32" t="s">
        <v>24</v>
      </c>
      <c r="I14" s="18"/>
    </row>
    <row r="15" ht="15.0" customHeight="1">
      <c r="A15" s="33" t="s">
        <v>47</v>
      </c>
      <c r="B15" s="34"/>
      <c r="C15" s="34"/>
      <c r="D15" s="34"/>
      <c r="E15" s="35"/>
      <c r="F15" s="36">
        <v>1.0</v>
      </c>
      <c r="G15" s="36">
        <v>200.0</v>
      </c>
      <c r="H15" s="37">
        <f t="shared" ref="H15:H20" si="1">F15*G15</f>
        <v>200</v>
      </c>
      <c r="I15" s="18"/>
    </row>
    <row r="16" ht="15.0" customHeight="1">
      <c r="A16" s="38" t="s">
        <v>48</v>
      </c>
      <c r="E16" s="39"/>
      <c r="F16" s="40">
        <v>30.0</v>
      </c>
      <c r="G16" s="40">
        <v>2.75</v>
      </c>
      <c r="H16" s="41">
        <f t="shared" si="1"/>
        <v>82.5</v>
      </c>
      <c r="I16" s="18"/>
    </row>
    <row r="17" ht="15.0" customHeight="1">
      <c r="A17" s="38" t="s">
        <v>49</v>
      </c>
      <c r="E17" s="39"/>
      <c r="F17" s="40">
        <v>77.0</v>
      </c>
      <c r="G17" s="40">
        <v>7.0</v>
      </c>
      <c r="H17" s="41">
        <f t="shared" si="1"/>
        <v>539</v>
      </c>
      <c r="I17" s="18"/>
    </row>
    <row r="18" ht="15.0" customHeight="1">
      <c r="A18" s="38"/>
      <c r="E18" s="39"/>
      <c r="F18" s="40"/>
      <c r="G18" s="40"/>
      <c r="H18" s="41">
        <f t="shared" si="1"/>
        <v>0</v>
      </c>
      <c r="I18" s="18"/>
    </row>
    <row r="19" ht="15.0" customHeight="1">
      <c r="A19" s="38"/>
      <c r="E19" s="39"/>
      <c r="F19" s="40"/>
      <c r="G19" s="40"/>
      <c r="H19" s="41">
        <f t="shared" si="1"/>
        <v>0</v>
      </c>
      <c r="I19" s="18"/>
    </row>
    <row r="20" ht="15.0" customHeight="1">
      <c r="A20" s="38"/>
      <c r="E20" s="39"/>
      <c r="F20" s="40"/>
      <c r="G20" s="40"/>
      <c r="H20" s="41">
        <f t="shared" si="1"/>
        <v>0</v>
      </c>
      <c r="I20" s="18"/>
    </row>
    <row r="21" ht="15.0" customHeight="1">
      <c r="A21" s="18"/>
      <c r="E21" s="39"/>
      <c r="F21" s="41"/>
      <c r="G21" s="41"/>
      <c r="H21" s="41"/>
      <c r="I21" s="18"/>
    </row>
    <row r="22" ht="15.0" customHeight="1">
      <c r="A22" s="38" t="s">
        <v>31</v>
      </c>
      <c r="E22" s="39"/>
      <c r="F22" s="41"/>
      <c r="G22" s="41"/>
      <c r="H22" s="41"/>
      <c r="I22" s="18"/>
    </row>
    <row r="23" ht="15.0" customHeight="1">
      <c r="A23" s="38" t="s">
        <v>32</v>
      </c>
      <c r="E23" s="39"/>
      <c r="F23" s="41"/>
      <c r="G23" s="41"/>
      <c r="H23" s="41"/>
      <c r="I23" s="18"/>
    </row>
    <row r="24" ht="15.0" customHeight="1">
      <c r="A24" s="18"/>
      <c r="E24" s="39"/>
      <c r="F24" s="41"/>
      <c r="G24" s="41"/>
      <c r="H24" s="41"/>
      <c r="I24" s="18"/>
    </row>
    <row r="25" ht="15.0" customHeight="1">
      <c r="A25" s="38" t="s">
        <v>33</v>
      </c>
      <c r="E25" s="39"/>
      <c r="F25" s="41"/>
      <c r="G25" s="41"/>
      <c r="H25" s="41"/>
      <c r="I25" s="18"/>
    </row>
    <row r="26" ht="15.0" customHeight="1">
      <c r="A26" s="38" t="s">
        <v>34</v>
      </c>
      <c r="E26" s="39"/>
      <c r="F26" s="41"/>
      <c r="G26" s="41"/>
      <c r="H26" s="41"/>
      <c r="I26" s="18"/>
    </row>
    <row r="27" ht="15.0" customHeight="1">
      <c r="A27" s="38" t="s">
        <v>35</v>
      </c>
      <c r="E27" s="39"/>
      <c r="F27" s="42"/>
      <c r="G27" s="42"/>
      <c r="H27" s="41"/>
      <c r="I27" s="18"/>
    </row>
    <row r="28" ht="15.0" customHeight="1">
      <c r="A28" s="18"/>
      <c r="E28" s="39"/>
      <c r="F28" s="43" t="s">
        <v>36</v>
      </c>
      <c r="G28" s="44"/>
      <c r="H28" s="41"/>
      <c r="I28" s="18"/>
    </row>
    <row r="29" ht="15.0" customHeight="1">
      <c r="A29" s="45"/>
      <c r="B29" s="46"/>
      <c r="C29" s="46"/>
      <c r="D29" s="46"/>
      <c r="E29" s="47"/>
      <c r="F29" s="43" t="s">
        <v>37</v>
      </c>
      <c r="G29" s="44"/>
      <c r="H29" s="42"/>
      <c r="I29" s="18"/>
    </row>
    <row r="30">
      <c r="A30" s="34"/>
      <c r="B30" s="34"/>
      <c r="C30" s="34"/>
      <c r="D30" s="35"/>
      <c r="E30" s="48" t="s">
        <v>38</v>
      </c>
      <c r="F30" s="30"/>
      <c r="G30" s="49"/>
      <c r="H30" s="50">
        <f>H15+H16+H17+H18+H19+H20</f>
        <v>821.5</v>
      </c>
      <c r="I30" s="18"/>
    </row>
    <row r="31">
      <c r="E31" s="34"/>
      <c r="F31" s="34"/>
      <c r="G31" s="34"/>
      <c r="H31" s="34"/>
    </row>
    <row r="32">
      <c r="A32" s="51" t="s">
        <v>39</v>
      </c>
    </row>
    <row r="33">
      <c r="A33" s="51" t="s">
        <v>40</v>
      </c>
    </row>
    <row r="34">
      <c r="A34" s="51" t="s">
        <v>41</v>
      </c>
    </row>
    <row r="36">
      <c r="A36" s="52" t="s">
        <v>42</v>
      </c>
    </row>
    <row r="37">
      <c r="A37" s="53" t="s">
        <v>43</v>
      </c>
    </row>
    <row r="38">
      <c r="A38" s="54"/>
    </row>
  </sheetData>
  <mergeCells count="40">
    <mergeCell ref="A33:E33"/>
    <mergeCell ref="A32:E32"/>
    <mergeCell ref="A29:E29"/>
    <mergeCell ref="A28:E28"/>
    <mergeCell ref="F28:G28"/>
    <mergeCell ref="F29:G29"/>
    <mergeCell ref="F6:G6"/>
    <mergeCell ref="F3:G3"/>
    <mergeCell ref="F4:G4"/>
    <mergeCell ref="A25:E25"/>
    <mergeCell ref="A34:E34"/>
    <mergeCell ref="A36:H36"/>
    <mergeCell ref="A37:H37"/>
    <mergeCell ref="A38:G38"/>
    <mergeCell ref="E30:F30"/>
    <mergeCell ref="A27:E27"/>
    <mergeCell ref="A26:E26"/>
    <mergeCell ref="A24:E24"/>
    <mergeCell ref="A20:E20"/>
    <mergeCell ref="A21:E21"/>
    <mergeCell ref="A18:E18"/>
    <mergeCell ref="A19:E19"/>
    <mergeCell ref="A22:E22"/>
    <mergeCell ref="A23:E23"/>
    <mergeCell ref="A17:E17"/>
    <mergeCell ref="G10:H10"/>
    <mergeCell ref="G11:H11"/>
    <mergeCell ref="G1:H1"/>
    <mergeCell ref="B10:E10"/>
    <mergeCell ref="A1:E1"/>
    <mergeCell ref="A2:B2"/>
    <mergeCell ref="A3:B3"/>
    <mergeCell ref="A4:B4"/>
    <mergeCell ref="B12:E12"/>
    <mergeCell ref="A14:E14"/>
    <mergeCell ref="A15:E15"/>
    <mergeCell ref="A16:E16"/>
    <mergeCell ref="B11:E11"/>
    <mergeCell ref="A9:H9"/>
    <mergeCell ref="G12:H1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F1" s="2"/>
      <c r="G1" s="3" t="s">
        <v>1</v>
      </c>
    </row>
    <row r="2">
      <c r="A2" s="4" t="s">
        <v>2</v>
      </c>
      <c r="C2" s="5"/>
      <c r="D2" s="5"/>
      <c r="E2" s="5"/>
      <c r="F2" s="5"/>
      <c r="G2" s="6" t="s">
        <v>3</v>
      </c>
      <c r="H2" s="7">
        <v>43134.0</v>
      </c>
    </row>
    <row r="3">
      <c r="A3" s="8" t="s">
        <v>4</v>
      </c>
      <c r="C3" s="9"/>
      <c r="D3" s="9"/>
      <c r="E3" s="9"/>
      <c r="F3" s="10" t="s">
        <v>5</v>
      </c>
      <c r="H3" s="8">
        <v>323.0</v>
      </c>
    </row>
    <row r="4">
      <c r="A4" s="4" t="s">
        <v>6</v>
      </c>
      <c r="C4" s="5"/>
      <c r="D4" s="5"/>
      <c r="E4" s="5"/>
      <c r="F4" s="11" t="s">
        <v>7</v>
      </c>
      <c r="H4" s="5"/>
    </row>
    <row r="5">
      <c r="A5" s="9"/>
      <c r="B5" s="9"/>
      <c r="C5" s="9"/>
      <c r="D5" s="9"/>
      <c r="E5" s="9"/>
      <c r="F5" s="9"/>
      <c r="G5" s="12" t="s">
        <v>8</v>
      </c>
      <c r="H5" s="9"/>
    </row>
    <row r="6">
      <c r="A6" s="5"/>
      <c r="B6" s="5"/>
      <c r="C6" s="5"/>
      <c r="D6" s="5"/>
      <c r="E6" s="5"/>
      <c r="F6" s="11" t="s">
        <v>9</v>
      </c>
      <c r="H6" s="4" t="s">
        <v>50</v>
      </c>
    </row>
    <row r="7">
      <c r="A7" s="8" t="s">
        <v>51</v>
      </c>
      <c r="B7" s="9"/>
      <c r="C7" s="9"/>
      <c r="D7" s="9"/>
      <c r="E7" s="9"/>
      <c r="F7" s="9"/>
      <c r="G7" s="9"/>
      <c r="H7" s="9"/>
    </row>
    <row r="8">
      <c r="A8" s="13" t="s">
        <v>52</v>
      </c>
      <c r="B8" s="14"/>
      <c r="C8" s="14"/>
      <c r="D8" s="14"/>
      <c r="E8" s="14"/>
      <c r="F8" s="14"/>
      <c r="G8" s="14"/>
      <c r="H8" s="14"/>
    </row>
    <row r="9">
      <c r="A9" s="15" t="s">
        <v>13</v>
      </c>
      <c r="B9" s="16"/>
      <c r="C9" s="16"/>
      <c r="D9" s="16"/>
      <c r="E9" s="16"/>
      <c r="F9" s="16"/>
      <c r="G9" s="16"/>
      <c r="H9" s="17"/>
      <c r="I9" s="18"/>
    </row>
    <row r="10">
      <c r="A10" s="19" t="s">
        <v>14</v>
      </c>
      <c r="B10" s="20" t="s">
        <v>15</v>
      </c>
      <c r="C10" s="21"/>
      <c r="D10" s="21"/>
      <c r="E10" s="21"/>
      <c r="F10" s="22" t="s">
        <v>16</v>
      </c>
      <c r="G10" s="21"/>
      <c r="H10" s="23"/>
      <c r="I10" s="18"/>
    </row>
    <row r="11">
      <c r="A11" s="24" t="s">
        <v>17</v>
      </c>
      <c r="B11" s="9"/>
      <c r="F11" s="25" t="s">
        <v>18</v>
      </c>
      <c r="G11" s="9"/>
      <c r="H11" s="26"/>
      <c r="I11" s="18"/>
    </row>
    <row r="12">
      <c r="A12" s="27" t="s">
        <v>19</v>
      </c>
      <c r="B12" s="14"/>
      <c r="C12" s="14"/>
      <c r="D12" s="14"/>
      <c r="E12" s="14"/>
      <c r="F12" s="28" t="s">
        <v>20</v>
      </c>
      <c r="G12" s="14"/>
      <c r="H12" s="29"/>
      <c r="I12" s="18"/>
    </row>
    <row r="13">
      <c r="A13" s="30"/>
      <c r="B13" s="30"/>
      <c r="C13" s="30"/>
      <c r="D13" s="30"/>
      <c r="E13" s="30"/>
      <c r="F13" s="30"/>
      <c r="G13" s="30"/>
      <c r="H13" s="30"/>
    </row>
    <row r="14">
      <c r="A14" s="31" t="s">
        <v>21</v>
      </c>
      <c r="B14" s="30"/>
      <c r="C14" s="30"/>
      <c r="D14" s="30"/>
      <c r="E14" s="30"/>
      <c r="F14" s="32" t="s">
        <v>22</v>
      </c>
      <c r="G14" s="32" t="s">
        <v>23</v>
      </c>
      <c r="H14" s="32" t="s">
        <v>24</v>
      </c>
      <c r="I14" s="18"/>
    </row>
    <row r="15" ht="15.0" customHeight="1">
      <c r="A15" s="33" t="s">
        <v>53</v>
      </c>
      <c r="B15" s="34"/>
      <c r="C15" s="34"/>
      <c r="D15" s="34"/>
      <c r="E15" s="35"/>
      <c r="F15" s="36">
        <v>171.0</v>
      </c>
      <c r="G15" s="36">
        <v>1.0</v>
      </c>
      <c r="H15" s="37">
        <f t="shared" ref="H15:H18" si="1">F15*G15</f>
        <v>171</v>
      </c>
      <c r="I15" s="18"/>
    </row>
    <row r="16" ht="15.0" customHeight="1">
      <c r="A16" s="38" t="s">
        <v>54</v>
      </c>
      <c r="E16" s="39"/>
      <c r="F16" s="40">
        <v>171.0</v>
      </c>
      <c r="G16" s="40">
        <v>2.75</v>
      </c>
      <c r="H16" s="41">
        <f t="shared" si="1"/>
        <v>470.25</v>
      </c>
      <c r="I16" s="18"/>
    </row>
    <row r="17" ht="15.0" customHeight="1">
      <c r="A17" s="38" t="s">
        <v>55</v>
      </c>
      <c r="E17" s="39"/>
      <c r="F17" s="40">
        <v>189.0</v>
      </c>
      <c r="G17" s="40">
        <v>1.0</v>
      </c>
      <c r="H17" s="41">
        <f t="shared" si="1"/>
        <v>189</v>
      </c>
      <c r="I17" s="18"/>
    </row>
    <row r="18" ht="15.0" customHeight="1">
      <c r="A18" s="38" t="s">
        <v>56</v>
      </c>
      <c r="E18" s="39"/>
      <c r="F18" s="40">
        <v>189.0</v>
      </c>
      <c r="G18" s="40">
        <v>2.75</v>
      </c>
      <c r="H18" s="41">
        <f t="shared" si="1"/>
        <v>519.75</v>
      </c>
      <c r="I18" s="18"/>
    </row>
    <row r="19" ht="15.0" customHeight="1">
      <c r="A19" s="38"/>
      <c r="E19" s="39"/>
      <c r="F19" s="40"/>
      <c r="G19" s="40"/>
      <c r="H19" s="41">
        <f>F19*H18</f>
        <v>0</v>
      </c>
      <c r="I19" s="18"/>
    </row>
    <row r="20" ht="15.0" customHeight="1">
      <c r="A20" s="38"/>
      <c r="E20" s="39"/>
      <c r="F20" s="40"/>
      <c r="G20" s="40"/>
      <c r="H20" s="41">
        <f>F20*G20</f>
        <v>0</v>
      </c>
      <c r="I20" s="18"/>
    </row>
    <row r="21" ht="15.0" customHeight="1">
      <c r="A21" s="18"/>
      <c r="E21" s="39"/>
      <c r="F21" s="41"/>
      <c r="G21" s="41"/>
      <c r="H21" s="41"/>
      <c r="I21" s="18"/>
    </row>
    <row r="22" ht="15.0" customHeight="1">
      <c r="A22" s="38" t="s">
        <v>31</v>
      </c>
      <c r="E22" s="39"/>
      <c r="F22" s="41"/>
      <c r="G22" s="41"/>
      <c r="H22" s="41"/>
      <c r="I22" s="18"/>
    </row>
    <row r="23" ht="15.0" customHeight="1">
      <c r="A23" s="38" t="s">
        <v>32</v>
      </c>
      <c r="E23" s="39"/>
      <c r="F23" s="41"/>
      <c r="G23" s="41"/>
      <c r="H23" s="41"/>
      <c r="I23" s="18"/>
    </row>
    <row r="24" ht="15.0" customHeight="1">
      <c r="A24" s="18"/>
      <c r="E24" s="39"/>
      <c r="F24" s="41"/>
      <c r="G24" s="41"/>
      <c r="H24" s="41"/>
      <c r="I24" s="18"/>
    </row>
    <row r="25" ht="15.0" customHeight="1">
      <c r="A25" s="38" t="s">
        <v>33</v>
      </c>
      <c r="E25" s="39"/>
      <c r="F25" s="41"/>
      <c r="G25" s="41"/>
      <c r="H25" s="41"/>
      <c r="I25" s="18"/>
    </row>
    <row r="26" ht="15.0" customHeight="1">
      <c r="A26" s="38" t="s">
        <v>34</v>
      </c>
      <c r="E26" s="39"/>
      <c r="F26" s="41"/>
      <c r="G26" s="41"/>
      <c r="H26" s="41"/>
      <c r="I26" s="18"/>
    </row>
    <row r="27" ht="15.0" customHeight="1">
      <c r="A27" s="38" t="s">
        <v>35</v>
      </c>
      <c r="E27" s="39"/>
      <c r="F27" s="42"/>
      <c r="G27" s="42"/>
      <c r="H27" s="41"/>
      <c r="I27" s="18"/>
    </row>
    <row r="28" ht="15.0" customHeight="1">
      <c r="A28" s="18"/>
      <c r="E28" s="39"/>
      <c r="F28" s="43" t="s">
        <v>36</v>
      </c>
      <c r="G28" s="44"/>
      <c r="H28" s="41"/>
      <c r="I28" s="18"/>
    </row>
    <row r="29" ht="15.0" customHeight="1">
      <c r="A29" s="45"/>
      <c r="B29" s="46"/>
      <c r="C29" s="46"/>
      <c r="D29" s="46"/>
      <c r="E29" s="47"/>
      <c r="F29" s="43" t="s">
        <v>37</v>
      </c>
      <c r="G29" s="44"/>
      <c r="H29" s="42"/>
      <c r="I29" s="18"/>
    </row>
    <row r="30">
      <c r="A30" s="34"/>
      <c r="B30" s="34"/>
      <c r="C30" s="34"/>
      <c r="D30" s="35"/>
      <c r="E30" s="48" t="s">
        <v>38</v>
      </c>
      <c r="F30" s="30"/>
      <c r="G30" s="49"/>
      <c r="H30" s="50">
        <f>H15+H16+H17+H18+H19+H20</f>
        <v>1350</v>
      </c>
      <c r="I30" s="18"/>
    </row>
    <row r="31">
      <c r="E31" s="34"/>
      <c r="F31" s="34"/>
      <c r="G31" s="34"/>
      <c r="H31" s="34"/>
    </row>
    <row r="32">
      <c r="A32" s="51" t="s">
        <v>39</v>
      </c>
    </row>
    <row r="33">
      <c r="A33" s="51" t="s">
        <v>40</v>
      </c>
    </row>
    <row r="34">
      <c r="A34" s="51" t="s">
        <v>41</v>
      </c>
    </row>
    <row r="36">
      <c r="A36" s="52" t="s">
        <v>42</v>
      </c>
    </row>
    <row r="37">
      <c r="A37" s="53" t="s">
        <v>43</v>
      </c>
    </row>
    <row r="38">
      <c r="A38" s="54"/>
    </row>
  </sheetData>
  <mergeCells count="40">
    <mergeCell ref="A22:E22"/>
    <mergeCell ref="A23:E23"/>
    <mergeCell ref="A32:E32"/>
    <mergeCell ref="A29:E29"/>
    <mergeCell ref="F28:G28"/>
    <mergeCell ref="F29:G29"/>
    <mergeCell ref="E30:F30"/>
    <mergeCell ref="A26:E26"/>
    <mergeCell ref="A17:E17"/>
    <mergeCell ref="F3:G3"/>
    <mergeCell ref="F4:G4"/>
    <mergeCell ref="G10:H10"/>
    <mergeCell ref="G11:H11"/>
    <mergeCell ref="G1:H1"/>
    <mergeCell ref="G12:H12"/>
    <mergeCell ref="F6:G6"/>
    <mergeCell ref="A1:E1"/>
    <mergeCell ref="A2:B2"/>
    <mergeCell ref="A3:B3"/>
    <mergeCell ref="A4:B4"/>
    <mergeCell ref="B12:E12"/>
    <mergeCell ref="B11:E11"/>
    <mergeCell ref="A33:E33"/>
    <mergeCell ref="A34:E34"/>
    <mergeCell ref="A36:H36"/>
    <mergeCell ref="A37:H37"/>
    <mergeCell ref="A38:G38"/>
    <mergeCell ref="A28:E28"/>
    <mergeCell ref="A27:E27"/>
    <mergeCell ref="A25:E25"/>
    <mergeCell ref="A24:E24"/>
    <mergeCell ref="A20:E20"/>
    <mergeCell ref="A21:E21"/>
    <mergeCell ref="A18:E18"/>
    <mergeCell ref="A19:E19"/>
    <mergeCell ref="A14:E14"/>
    <mergeCell ref="A15:E15"/>
    <mergeCell ref="A16:E16"/>
    <mergeCell ref="B10:E10"/>
    <mergeCell ref="A9:H9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F1" s="2"/>
      <c r="G1" s="3" t="s">
        <v>1</v>
      </c>
    </row>
    <row r="2">
      <c r="A2" s="4" t="s">
        <v>2</v>
      </c>
      <c r="C2" s="5"/>
      <c r="D2" s="5"/>
      <c r="E2" s="5"/>
      <c r="F2" s="5"/>
      <c r="G2" s="6" t="s">
        <v>3</v>
      </c>
      <c r="H2" s="7">
        <v>43134.0</v>
      </c>
    </row>
    <row r="3">
      <c r="A3" s="8" t="s">
        <v>4</v>
      </c>
      <c r="C3" s="9"/>
      <c r="D3" s="9"/>
      <c r="E3" s="9"/>
      <c r="F3" s="10" t="s">
        <v>5</v>
      </c>
      <c r="H3" s="8">
        <v>324.0</v>
      </c>
    </row>
    <row r="4">
      <c r="A4" s="4" t="s">
        <v>6</v>
      </c>
      <c r="C4" s="5"/>
      <c r="D4" s="5"/>
      <c r="E4" s="5"/>
      <c r="F4" s="11" t="s">
        <v>7</v>
      </c>
      <c r="H4" s="5"/>
    </row>
    <row r="5">
      <c r="A5" s="9"/>
      <c r="B5" s="9"/>
      <c r="C5" s="9"/>
      <c r="D5" s="9"/>
      <c r="E5" s="9"/>
      <c r="F5" s="9"/>
      <c r="G5" s="12" t="s">
        <v>8</v>
      </c>
      <c r="H5" s="9"/>
    </row>
    <row r="6">
      <c r="A6" s="5"/>
      <c r="B6" s="5"/>
      <c r="C6" s="5"/>
      <c r="D6" s="5"/>
      <c r="E6" s="5"/>
      <c r="F6" s="11" t="s">
        <v>9</v>
      </c>
      <c r="H6" s="4" t="s">
        <v>57</v>
      </c>
    </row>
    <row r="7">
      <c r="A7" s="8" t="s">
        <v>58</v>
      </c>
      <c r="B7" s="9"/>
      <c r="C7" s="9"/>
      <c r="D7" s="9"/>
      <c r="E7" s="9"/>
      <c r="F7" s="9"/>
      <c r="G7" s="9"/>
      <c r="H7" s="9"/>
    </row>
    <row r="8">
      <c r="A8" s="13" t="s">
        <v>59</v>
      </c>
      <c r="B8" s="14"/>
      <c r="C8" s="14"/>
      <c r="D8" s="14"/>
      <c r="E8" s="14"/>
      <c r="F8" s="14"/>
      <c r="G8" s="14"/>
      <c r="H8" s="14"/>
    </row>
    <row r="9">
      <c r="A9" s="15" t="s">
        <v>13</v>
      </c>
      <c r="B9" s="16"/>
      <c r="C9" s="16"/>
      <c r="D9" s="16"/>
      <c r="E9" s="16"/>
      <c r="F9" s="16"/>
      <c r="G9" s="16"/>
      <c r="H9" s="17"/>
      <c r="I9" s="18"/>
    </row>
    <row r="10">
      <c r="A10" s="19" t="s">
        <v>14</v>
      </c>
      <c r="B10" s="20" t="s">
        <v>15</v>
      </c>
      <c r="C10" s="21"/>
      <c r="D10" s="21"/>
      <c r="E10" s="21"/>
      <c r="F10" s="22" t="s">
        <v>16</v>
      </c>
      <c r="G10" s="21"/>
      <c r="H10" s="23"/>
      <c r="I10" s="18"/>
    </row>
    <row r="11">
      <c r="A11" s="24" t="s">
        <v>17</v>
      </c>
      <c r="B11" s="9"/>
      <c r="F11" s="25" t="s">
        <v>18</v>
      </c>
      <c r="G11" s="9"/>
      <c r="H11" s="26"/>
      <c r="I11" s="18"/>
    </row>
    <row r="12">
      <c r="A12" s="27" t="s">
        <v>19</v>
      </c>
      <c r="B12" s="14"/>
      <c r="C12" s="14"/>
      <c r="D12" s="14"/>
      <c r="E12" s="14"/>
      <c r="F12" s="28" t="s">
        <v>20</v>
      </c>
      <c r="G12" s="14"/>
      <c r="H12" s="29"/>
      <c r="I12" s="18"/>
    </row>
    <row r="13">
      <c r="A13" s="30"/>
      <c r="B13" s="30"/>
      <c r="C13" s="30"/>
      <c r="D13" s="30"/>
      <c r="E13" s="30"/>
      <c r="F13" s="30"/>
      <c r="G13" s="30"/>
      <c r="H13" s="30"/>
    </row>
    <row r="14">
      <c r="A14" s="31" t="s">
        <v>21</v>
      </c>
      <c r="B14" s="30"/>
      <c r="C14" s="30"/>
      <c r="D14" s="30"/>
      <c r="E14" s="30"/>
      <c r="F14" s="32" t="s">
        <v>22</v>
      </c>
      <c r="G14" s="32" t="s">
        <v>23</v>
      </c>
      <c r="H14" s="32" t="s">
        <v>24</v>
      </c>
      <c r="I14" s="18"/>
    </row>
    <row r="15" ht="15.0" customHeight="1">
      <c r="A15" s="33" t="s">
        <v>60</v>
      </c>
      <c r="B15" s="34"/>
      <c r="C15" s="34"/>
      <c r="D15" s="34"/>
      <c r="E15" s="35"/>
      <c r="F15" s="36">
        <v>648.3</v>
      </c>
      <c r="G15" s="36">
        <v>1.0</v>
      </c>
      <c r="H15" s="37">
        <f t="shared" ref="H15:H18" si="1">F15*G15</f>
        <v>648.3</v>
      </c>
      <c r="I15" s="18"/>
    </row>
    <row r="16" ht="15.0" customHeight="1">
      <c r="A16" s="38" t="s">
        <v>48</v>
      </c>
      <c r="E16" s="39"/>
      <c r="F16" s="40">
        <v>648.3</v>
      </c>
      <c r="G16" s="40">
        <v>2.75</v>
      </c>
      <c r="H16" s="41">
        <f t="shared" si="1"/>
        <v>1782.825</v>
      </c>
      <c r="I16" s="18"/>
    </row>
    <row r="17" ht="15.0" customHeight="1">
      <c r="A17" s="38" t="s">
        <v>61</v>
      </c>
      <c r="E17" s="39"/>
      <c r="F17" s="40">
        <v>1.0</v>
      </c>
      <c r="G17" s="40">
        <v>100.0</v>
      </c>
      <c r="H17" s="41">
        <f t="shared" si="1"/>
        <v>100</v>
      </c>
      <c r="I17" s="18"/>
    </row>
    <row r="18" ht="15.0" customHeight="1">
      <c r="A18" s="38" t="s">
        <v>62</v>
      </c>
      <c r="E18" s="39"/>
      <c r="F18" s="40">
        <v>68.0</v>
      </c>
      <c r="G18" s="40">
        <v>15.0</v>
      </c>
      <c r="H18" s="41">
        <f t="shared" si="1"/>
        <v>1020</v>
      </c>
      <c r="I18" s="18"/>
    </row>
    <row r="19" ht="15.0" customHeight="1">
      <c r="A19" s="38"/>
      <c r="E19" s="39"/>
      <c r="F19" s="40"/>
      <c r="G19" s="40"/>
      <c r="H19" s="41"/>
      <c r="I19" s="18"/>
    </row>
    <row r="20" ht="15.0" customHeight="1">
      <c r="A20" s="38"/>
      <c r="E20" s="39"/>
      <c r="F20" s="40"/>
      <c r="G20" s="40"/>
      <c r="H20" s="41">
        <f>F20*G20</f>
        <v>0</v>
      </c>
      <c r="I20" s="18"/>
    </row>
    <row r="21" ht="15.0" customHeight="1">
      <c r="A21" s="18"/>
      <c r="E21" s="39"/>
      <c r="F21" s="41"/>
      <c r="G21" s="41"/>
      <c r="H21" s="41"/>
      <c r="I21" s="18"/>
    </row>
    <row r="22" ht="15.0" customHeight="1">
      <c r="A22" s="38" t="s">
        <v>31</v>
      </c>
      <c r="E22" s="39"/>
      <c r="F22" s="41"/>
      <c r="G22" s="41"/>
      <c r="H22" s="41"/>
      <c r="I22" s="18"/>
    </row>
    <row r="23" ht="15.0" customHeight="1">
      <c r="A23" s="38" t="s">
        <v>32</v>
      </c>
      <c r="E23" s="39"/>
      <c r="F23" s="41"/>
      <c r="G23" s="41"/>
      <c r="H23" s="41"/>
      <c r="I23" s="18"/>
    </row>
    <row r="24" ht="15.0" customHeight="1">
      <c r="A24" s="18"/>
      <c r="E24" s="39"/>
      <c r="F24" s="41"/>
      <c r="G24" s="41"/>
      <c r="H24" s="41"/>
      <c r="I24" s="18"/>
    </row>
    <row r="25" ht="15.0" customHeight="1">
      <c r="A25" s="38" t="s">
        <v>33</v>
      </c>
      <c r="E25" s="39"/>
      <c r="F25" s="41"/>
      <c r="G25" s="41"/>
      <c r="H25" s="41"/>
      <c r="I25" s="18"/>
    </row>
    <row r="26" ht="15.0" customHeight="1">
      <c r="A26" s="38" t="s">
        <v>34</v>
      </c>
      <c r="E26" s="39"/>
      <c r="F26" s="41"/>
      <c r="G26" s="41"/>
      <c r="H26" s="41"/>
      <c r="I26" s="18"/>
    </row>
    <row r="27" ht="15.0" customHeight="1">
      <c r="A27" s="38" t="s">
        <v>35</v>
      </c>
      <c r="E27" s="39"/>
      <c r="F27" s="42"/>
      <c r="G27" s="42"/>
      <c r="H27" s="41"/>
      <c r="I27" s="18"/>
    </row>
    <row r="28" ht="15.0" customHeight="1">
      <c r="A28" s="18"/>
      <c r="E28" s="39"/>
      <c r="F28" s="43" t="s">
        <v>36</v>
      </c>
      <c r="G28" s="44"/>
      <c r="H28" s="41"/>
      <c r="I28" s="18"/>
    </row>
    <row r="29" ht="15.0" customHeight="1">
      <c r="A29" s="45"/>
      <c r="B29" s="46"/>
      <c r="C29" s="46"/>
      <c r="D29" s="46"/>
      <c r="E29" s="47"/>
      <c r="F29" s="43" t="s">
        <v>37</v>
      </c>
      <c r="G29" s="44"/>
      <c r="H29" s="42"/>
      <c r="I29" s="18"/>
    </row>
    <row r="30">
      <c r="A30" s="34"/>
      <c r="B30" s="34"/>
      <c r="C30" s="34"/>
      <c r="D30" s="35"/>
      <c r="E30" s="48" t="s">
        <v>38</v>
      </c>
      <c r="F30" s="30"/>
      <c r="G30" s="49"/>
      <c r="H30" s="50">
        <f>H15+H16+H17+H18+H19+H20</f>
        <v>3551.125</v>
      </c>
      <c r="I30" s="18"/>
    </row>
    <row r="31">
      <c r="E31" s="34"/>
      <c r="F31" s="34"/>
      <c r="G31" s="34"/>
      <c r="H31" s="34"/>
    </row>
    <row r="32">
      <c r="A32" s="51" t="s">
        <v>39</v>
      </c>
    </row>
    <row r="33">
      <c r="A33" s="51" t="s">
        <v>40</v>
      </c>
    </row>
    <row r="34">
      <c r="A34" s="51" t="s">
        <v>41</v>
      </c>
    </row>
    <row r="36">
      <c r="A36" s="52" t="s">
        <v>42</v>
      </c>
    </row>
    <row r="37">
      <c r="A37" s="53" t="s">
        <v>43</v>
      </c>
    </row>
    <row r="38">
      <c r="A38" s="54"/>
    </row>
  </sheetData>
  <mergeCells count="40">
    <mergeCell ref="A25:E25"/>
    <mergeCell ref="A24:E24"/>
    <mergeCell ref="A23:E23"/>
    <mergeCell ref="A32:E32"/>
    <mergeCell ref="A29:E29"/>
    <mergeCell ref="F28:G28"/>
    <mergeCell ref="F29:G29"/>
    <mergeCell ref="E30:F30"/>
    <mergeCell ref="A26:E26"/>
    <mergeCell ref="A18:E18"/>
    <mergeCell ref="A19:E19"/>
    <mergeCell ref="A14:E14"/>
    <mergeCell ref="A15:E15"/>
    <mergeCell ref="G10:H10"/>
    <mergeCell ref="B10:E10"/>
    <mergeCell ref="A22:E22"/>
    <mergeCell ref="A17:E17"/>
    <mergeCell ref="F3:G3"/>
    <mergeCell ref="G11:H11"/>
    <mergeCell ref="G1:H1"/>
    <mergeCell ref="G12:H12"/>
    <mergeCell ref="A16:E16"/>
    <mergeCell ref="A9:H9"/>
    <mergeCell ref="F4:G4"/>
    <mergeCell ref="F6:G6"/>
    <mergeCell ref="A1:E1"/>
    <mergeCell ref="A2:B2"/>
    <mergeCell ref="A3:B3"/>
    <mergeCell ref="A4:B4"/>
    <mergeCell ref="B12:E12"/>
    <mergeCell ref="B11:E11"/>
    <mergeCell ref="A33:E33"/>
    <mergeCell ref="A34:E34"/>
    <mergeCell ref="A36:H36"/>
    <mergeCell ref="A37:H37"/>
    <mergeCell ref="A38:G38"/>
    <mergeCell ref="A28:E28"/>
    <mergeCell ref="A27:E27"/>
    <mergeCell ref="A20:E20"/>
    <mergeCell ref="A21:E2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F1" s="2"/>
      <c r="G1" s="3" t="s">
        <v>1</v>
      </c>
    </row>
    <row r="2">
      <c r="A2" s="4" t="s">
        <v>2</v>
      </c>
      <c r="C2" s="5"/>
      <c r="D2" s="5"/>
      <c r="E2" s="5"/>
      <c r="F2" s="5"/>
      <c r="G2" s="6" t="s">
        <v>3</v>
      </c>
      <c r="H2" s="7">
        <v>43134.0</v>
      </c>
    </row>
    <row r="3">
      <c r="A3" s="8" t="s">
        <v>4</v>
      </c>
      <c r="C3" s="9"/>
      <c r="D3" s="9"/>
      <c r="E3" s="9"/>
      <c r="F3" s="10" t="s">
        <v>5</v>
      </c>
      <c r="H3" s="8">
        <v>325.0</v>
      </c>
    </row>
    <row r="4">
      <c r="A4" s="4" t="s">
        <v>6</v>
      </c>
      <c r="C4" s="5"/>
      <c r="D4" s="5"/>
      <c r="E4" s="5"/>
      <c r="F4" s="11" t="s">
        <v>7</v>
      </c>
      <c r="H4" s="5"/>
    </row>
    <row r="5">
      <c r="A5" s="9"/>
      <c r="B5" s="9"/>
      <c r="C5" s="9"/>
      <c r="D5" s="9"/>
      <c r="E5" s="9"/>
      <c r="F5" s="9"/>
      <c r="G5" s="12" t="s">
        <v>8</v>
      </c>
      <c r="H5" s="9"/>
    </row>
    <row r="6">
      <c r="A6" s="5"/>
      <c r="B6" s="5"/>
      <c r="C6" s="5"/>
      <c r="D6" s="5"/>
      <c r="E6" s="5"/>
      <c r="F6" s="11" t="s">
        <v>9</v>
      </c>
      <c r="H6" s="4" t="s">
        <v>63</v>
      </c>
    </row>
    <row r="7">
      <c r="A7" s="8" t="s">
        <v>64</v>
      </c>
      <c r="B7" s="9"/>
      <c r="C7" s="9"/>
      <c r="D7" s="9"/>
      <c r="E7" s="9"/>
      <c r="F7" s="9"/>
      <c r="G7" s="9"/>
      <c r="H7" s="9"/>
    </row>
    <row r="8">
      <c r="A8" s="13"/>
      <c r="B8" s="14"/>
      <c r="C8" s="14"/>
      <c r="D8" s="14"/>
      <c r="E8" s="14"/>
      <c r="F8" s="14"/>
      <c r="G8" s="14"/>
      <c r="H8" s="14"/>
    </row>
    <row r="9">
      <c r="A9" s="15" t="s">
        <v>13</v>
      </c>
      <c r="B9" s="16"/>
      <c r="C9" s="16"/>
      <c r="D9" s="16"/>
      <c r="E9" s="16"/>
      <c r="F9" s="16"/>
      <c r="G9" s="16"/>
      <c r="H9" s="17"/>
      <c r="I9" s="18"/>
    </row>
    <row r="10">
      <c r="A10" s="19" t="s">
        <v>14</v>
      </c>
      <c r="B10" s="20" t="s">
        <v>15</v>
      </c>
      <c r="C10" s="21"/>
      <c r="D10" s="21"/>
      <c r="E10" s="21"/>
      <c r="F10" s="22" t="s">
        <v>16</v>
      </c>
      <c r="G10" s="21"/>
      <c r="H10" s="23"/>
      <c r="I10" s="18"/>
    </row>
    <row r="11">
      <c r="A11" s="24" t="s">
        <v>17</v>
      </c>
      <c r="B11" s="9"/>
      <c r="F11" s="25" t="s">
        <v>18</v>
      </c>
      <c r="G11" s="9"/>
      <c r="H11" s="26"/>
      <c r="I11" s="18"/>
    </row>
    <row r="12">
      <c r="A12" s="27" t="s">
        <v>19</v>
      </c>
      <c r="B12" s="14"/>
      <c r="C12" s="14"/>
      <c r="D12" s="14"/>
      <c r="E12" s="14"/>
      <c r="F12" s="28" t="s">
        <v>20</v>
      </c>
      <c r="G12" s="14"/>
      <c r="H12" s="29"/>
      <c r="I12" s="18"/>
    </row>
    <row r="13">
      <c r="A13" s="30"/>
      <c r="B13" s="30"/>
      <c r="C13" s="30"/>
      <c r="D13" s="30"/>
      <c r="E13" s="30"/>
      <c r="F13" s="30"/>
      <c r="G13" s="30"/>
      <c r="H13" s="30"/>
    </row>
    <row r="14">
      <c r="A14" s="31" t="s">
        <v>21</v>
      </c>
      <c r="B14" s="30"/>
      <c r="C14" s="30"/>
      <c r="D14" s="30"/>
      <c r="E14" s="30"/>
      <c r="F14" s="32" t="s">
        <v>22</v>
      </c>
      <c r="G14" s="32" t="s">
        <v>23</v>
      </c>
      <c r="H14" s="32" t="s">
        <v>24</v>
      </c>
      <c r="I14" s="18"/>
    </row>
    <row r="15" ht="15.0" customHeight="1">
      <c r="A15" s="33" t="s">
        <v>65</v>
      </c>
      <c r="B15" s="34"/>
      <c r="C15" s="34"/>
      <c r="D15" s="34"/>
      <c r="E15" s="35"/>
      <c r="F15" s="36">
        <f>216</f>
        <v>216</v>
      </c>
      <c r="G15" s="36">
        <v>1.25</v>
      </c>
      <c r="H15" s="37">
        <f t="shared" ref="H15:H16" si="1">F15*G15</f>
        <v>270</v>
      </c>
      <c r="I15" s="18"/>
    </row>
    <row r="16" ht="15.0" customHeight="1">
      <c r="A16" s="38" t="s">
        <v>48</v>
      </c>
      <c r="E16" s="39"/>
      <c r="F16" s="40">
        <v>216.0</v>
      </c>
      <c r="G16" s="40">
        <v>2.75</v>
      </c>
      <c r="H16" s="41">
        <f t="shared" si="1"/>
        <v>594</v>
      </c>
      <c r="I16" s="18"/>
    </row>
    <row r="17" ht="15.0" customHeight="1">
      <c r="A17" s="38"/>
      <c r="E17" s="39"/>
      <c r="F17" s="40"/>
      <c r="G17" s="40"/>
      <c r="H17" s="41"/>
      <c r="I17" s="18"/>
    </row>
    <row r="18" ht="15.0" customHeight="1">
      <c r="A18" s="38"/>
      <c r="E18" s="39"/>
      <c r="F18" s="40"/>
      <c r="G18" s="40"/>
      <c r="H18" s="41">
        <f>F18*G18</f>
        <v>0</v>
      </c>
      <c r="I18" s="18"/>
    </row>
    <row r="19" ht="15.0" customHeight="1">
      <c r="A19" s="38"/>
      <c r="E19" s="39"/>
      <c r="F19" s="40"/>
      <c r="G19" s="40"/>
      <c r="H19" s="41"/>
      <c r="I19" s="18"/>
    </row>
    <row r="20" ht="15.0" customHeight="1">
      <c r="A20" s="38"/>
      <c r="E20" s="39"/>
      <c r="F20" s="40"/>
      <c r="G20" s="40"/>
      <c r="H20" s="41">
        <f>F20*G20</f>
        <v>0</v>
      </c>
      <c r="I20" s="18"/>
    </row>
    <row r="21" ht="15.0" customHeight="1">
      <c r="A21" s="18"/>
      <c r="E21" s="39"/>
      <c r="F21" s="41"/>
      <c r="G21" s="41"/>
      <c r="H21" s="41"/>
      <c r="I21" s="18"/>
    </row>
    <row r="22" ht="15.0" customHeight="1">
      <c r="A22" s="38" t="s">
        <v>31</v>
      </c>
      <c r="E22" s="39"/>
      <c r="F22" s="41"/>
      <c r="G22" s="41"/>
      <c r="H22" s="41"/>
      <c r="I22" s="18"/>
    </row>
    <row r="23" ht="15.0" customHeight="1">
      <c r="A23" s="38" t="s">
        <v>32</v>
      </c>
      <c r="E23" s="39"/>
      <c r="F23" s="41"/>
      <c r="G23" s="41"/>
      <c r="H23" s="41"/>
      <c r="I23" s="18"/>
    </row>
    <row r="24" ht="15.0" customHeight="1">
      <c r="A24" s="18"/>
      <c r="E24" s="39"/>
      <c r="F24" s="41"/>
      <c r="G24" s="41"/>
      <c r="H24" s="41"/>
      <c r="I24" s="18"/>
    </row>
    <row r="25" ht="15.0" customHeight="1">
      <c r="A25" s="38" t="s">
        <v>33</v>
      </c>
      <c r="E25" s="39"/>
      <c r="F25" s="41"/>
      <c r="G25" s="41"/>
      <c r="H25" s="41"/>
      <c r="I25" s="18"/>
    </row>
    <row r="26" ht="15.0" customHeight="1">
      <c r="A26" s="38" t="s">
        <v>34</v>
      </c>
      <c r="E26" s="39"/>
      <c r="F26" s="41"/>
      <c r="G26" s="41"/>
      <c r="H26" s="41"/>
      <c r="I26" s="18"/>
    </row>
    <row r="27" ht="15.0" customHeight="1">
      <c r="A27" s="38" t="s">
        <v>35</v>
      </c>
      <c r="E27" s="39"/>
      <c r="F27" s="42"/>
      <c r="G27" s="42"/>
      <c r="H27" s="41"/>
      <c r="I27" s="18"/>
    </row>
    <row r="28" ht="15.0" customHeight="1">
      <c r="A28" s="18"/>
      <c r="E28" s="39"/>
      <c r="F28" s="43" t="s">
        <v>36</v>
      </c>
      <c r="G28" s="44"/>
      <c r="H28" s="41"/>
      <c r="I28" s="18"/>
    </row>
    <row r="29" ht="15.0" customHeight="1">
      <c r="A29" s="45"/>
      <c r="B29" s="46"/>
      <c r="C29" s="46"/>
      <c r="D29" s="46"/>
      <c r="E29" s="47"/>
      <c r="F29" s="43" t="s">
        <v>37</v>
      </c>
      <c r="G29" s="44"/>
      <c r="H29" s="42"/>
      <c r="I29" s="18"/>
    </row>
    <row r="30">
      <c r="A30" s="34"/>
      <c r="B30" s="34"/>
      <c r="C30" s="34"/>
      <c r="D30" s="35"/>
      <c r="E30" s="48" t="s">
        <v>38</v>
      </c>
      <c r="F30" s="30"/>
      <c r="G30" s="49"/>
      <c r="H30" s="50">
        <f>H15+H16+H17+H18+H19+H20</f>
        <v>864</v>
      </c>
      <c r="I30" s="18"/>
    </row>
    <row r="31">
      <c r="E31" s="34"/>
      <c r="F31" s="34"/>
      <c r="G31" s="34"/>
      <c r="H31" s="34"/>
    </row>
    <row r="32">
      <c r="A32" s="51" t="s">
        <v>39</v>
      </c>
    </row>
    <row r="33">
      <c r="A33" s="51" t="s">
        <v>40</v>
      </c>
    </row>
    <row r="34">
      <c r="A34" s="51" t="s">
        <v>41</v>
      </c>
    </row>
    <row r="36">
      <c r="A36" s="52" t="s">
        <v>42</v>
      </c>
    </row>
    <row r="37">
      <c r="A37" s="53" t="s">
        <v>43</v>
      </c>
    </row>
    <row r="38">
      <c r="A38" s="54"/>
    </row>
  </sheetData>
  <mergeCells count="40">
    <mergeCell ref="B12:E12"/>
    <mergeCell ref="B11:E11"/>
    <mergeCell ref="A18:E18"/>
    <mergeCell ref="A19:E19"/>
    <mergeCell ref="A14:E14"/>
    <mergeCell ref="A15:E15"/>
    <mergeCell ref="A17:E17"/>
    <mergeCell ref="F3:G3"/>
    <mergeCell ref="A16:E16"/>
    <mergeCell ref="A28:E28"/>
    <mergeCell ref="A27:E27"/>
    <mergeCell ref="A24:E24"/>
    <mergeCell ref="A23:E23"/>
    <mergeCell ref="A29:E29"/>
    <mergeCell ref="F28:G28"/>
    <mergeCell ref="F29:G29"/>
    <mergeCell ref="E30:F30"/>
    <mergeCell ref="A22:E22"/>
    <mergeCell ref="A25:E25"/>
    <mergeCell ref="A26:E26"/>
    <mergeCell ref="A20:E20"/>
    <mergeCell ref="A21:E21"/>
    <mergeCell ref="G10:H10"/>
    <mergeCell ref="G11:H11"/>
    <mergeCell ref="G1:H1"/>
    <mergeCell ref="G12:H12"/>
    <mergeCell ref="B10:E10"/>
    <mergeCell ref="A9:H9"/>
    <mergeCell ref="F4:G4"/>
    <mergeCell ref="F6:G6"/>
    <mergeCell ref="A1:E1"/>
    <mergeCell ref="A2:B2"/>
    <mergeCell ref="A3:B3"/>
    <mergeCell ref="A4:B4"/>
    <mergeCell ref="A32:E32"/>
    <mergeCell ref="A33:E33"/>
    <mergeCell ref="A34:E34"/>
    <mergeCell ref="A36:H36"/>
    <mergeCell ref="A37:H37"/>
    <mergeCell ref="A38:G38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F1" s="2"/>
      <c r="G1" s="3" t="s">
        <v>1</v>
      </c>
    </row>
    <row r="2">
      <c r="A2" s="4" t="s">
        <v>2</v>
      </c>
      <c r="C2" s="5"/>
      <c r="D2" s="5"/>
      <c r="E2" s="5"/>
      <c r="F2" s="5"/>
      <c r="G2" s="6" t="s">
        <v>3</v>
      </c>
      <c r="H2" s="7">
        <v>43134.0</v>
      </c>
    </row>
    <row r="3">
      <c r="A3" s="8" t="s">
        <v>4</v>
      </c>
      <c r="C3" s="9"/>
      <c r="D3" s="9"/>
      <c r="E3" s="9"/>
      <c r="F3" s="10" t="s">
        <v>5</v>
      </c>
      <c r="H3" s="8">
        <v>326.0</v>
      </c>
    </row>
    <row r="4">
      <c r="A4" s="4" t="s">
        <v>6</v>
      </c>
      <c r="C4" s="5"/>
      <c r="D4" s="5"/>
      <c r="E4" s="5"/>
      <c r="F4" s="11" t="s">
        <v>7</v>
      </c>
      <c r="H4" s="5"/>
    </row>
    <row r="5">
      <c r="A5" s="9"/>
      <c r="B5" s="9"/>
      <c r="C5" s="9"/>
      <c r="D5" s="9"/>
      <c r="E5" s="9"/>
      <c r="F5" s="9"/>
      <c r="G5" s="12" t="s">
        <v>8</v>
      </c>
      <c r="H5" s="9"/>
    </row>
    <row r="6">
      <c r="A6" s="5"/>
      <c r="B6" s="5"/>
      <c r="C6" s="5"/>
      <c r="D6" s="5"/>
      <c r="E6" s="5"/>
      <c r="F6" s="11" t="s">
        <v>9</v>
      </c>
      <c r="H6" s="4" t="s">
        <v>66</v>
      </c>
    </row>
    <row r="7">
      <c r="A7" s="8" t="s">
        <v>67</v>
      </c>
      <c r="B7" s="9"/>
      <c r="C7" s="9"/>
      <c r="D7" s="9"/>
      <c r="E7" s="9"/>
      <c r="F7" s="9"/>
      <c r="G7" s="9"/>
      <c r="H7" s="9"/>
    </row>
    <row r="8">
      <c r="A8" s="13" t="s">
        <v>68</v>
      </c>
      <c r="B8" s="14"/>
      <c r="C8" s="14"/>
      <c r="D8" s="14"/>
      <c r="E8" s="14"/>
      <c r="F8" s="14"/>
      <c r="G8" s="14"/>
      <c r="H8" s="14"/>
    </row>
    <row r="9">
      <c r="A9" s="15" t="s">
        <v>13</v>
      </c>
      <c r="B9" s="16"/>
      <c r="C9" s="16"/>
      <c r="D9" s="16"/>
      <c r="E9" s="16"/>
      <c r="F9" s="16"/>
      <c r="G9" s="16"/>
      <c r="H9" s="17"/>
      <c r="I9" s="18"/>
    </row>
    <row r="10">
      <c r="A10" s="19" t="s">
        <v>14</v>
      </c>
      <c r="B10" s="20" t="s">
        <v>15</v>
      </c>
      <c r="C10" s="21"/>
      <c r="D10" s="21"/>
      <c r="E10" s="21"/>
      <c r="F10" s="22" t="s">
        <v>16</v>
      </c>
      <c r="G10" s="21"/>
      <c r="H10" s="23"/>
      <c r="I10" s="18"/>
    </row>
    <row r="11">
      <c r="A11" s="24" t="s">
        <v>17</v>
      </c>
      <c r="B11" s="9"/>
      <c r="F11" s="25" t="s">
        <v>18</v>
      </c>
      <c r="G11" s="9"/>
      <c r="H11" s="26"/>
      <c r="I11" s="18"/>
    </row>
    <row r="12">
      <c r="A12" s="27" t="s">
        <v>19</v>
      </c>
      <c r="B12" s="14"/>
      <c r="C12" s="14"/>
      <c r="D12" s="14"/>
      <c r="E12" s="14"/>
      <c r="F12" s="28" t="s">
        <v>20</v>
      </c>
      <c r="G12" s="14"/>
      <c r="H12" s="29"/>
      <c r="I12" s="18"/>
    </row>
    <row r="13">
      <c r="A13" s="30"/>
      <c r="B13" s="30"/>
      <c r="C13" s="30"/>
      <c r="D13" s="30"/>
      <c r="E13" s="30"/>
      <c r="F13" s="30"/>
      <c r="G13" s="30"/>
      <c r="H13" s="30"/>
    </row>
    <row r="14">
      <c r="A14" s="31" t="s">
        <v>21</v>
      </c>
      <c r="B14" s="30"/>
      <c r="C14" s="30"/>
      <c r="D14" s="30"/>
      <c r="E14" s="30"/>
      <c r="F14" s="32" t="s">
        <v>22</v>
      </c>
      <c r="G14" s="32" t="s">
        <v>23</v>
      </c>
      <c r="H14" s="32" t="s">
        <v>24</v>
      </c>
      <c r="I14" s="18"/>
    </row>
    <row r="15" ht="15.0" customHeight="1">
      <c r="A15" s="33" t="s">
        <v>69</v>
      </c>
      <c r="B15" s="34"/>
      <c r="C15" s="34"/>
      <c r="D15" s="34"/>
      <c r="E15" s="35"/>
      <c r="F15" s="36">
        <v>208.0</v>
      </c>
      <c r="G15" s="36">
        <v>1.0</v>
      </c>
      <c r="H15" s="37">
        <f t="shared" ref="H15:H18" si="1">F15*G15</f>
        <v>208</v>
      </c>
      <c r="I15" s="18"/>
    </row>
    <row r="16" ht="15.0" customHeight="1">
      <c r="A16" s="38" t="s">
        <v>48</v>
      </c>
      <c r="E16" s="39"/>
      <c r="F16" s="40">
        <v>208.0</v>
      </c>
      <c r="G16" s="40">
        <v>2.75</v>
      </c>
      <c r="H16" s="41">
        <f t="shared" si="1"/>
        <v>572</v>
      </c>
      <c r="I16" s="18"/>
    </row>
    <row r="17" ht="15.0" customHeight="1">
      <c r="A17" s="38" t="s">
        <v>70</v>
      </c>
      <c r="E17" s="39"/>
      <c r="F17" s="40">
        <v>134.0</v>
      </c>
      <c r="G17" s="40">
        <v>1.25</v>
      </c>
      <c r="H17" s="41">
        <f t="shared" si="1"/>
        <v>167.5</v>
      </c>
      <c r="I17" s="18"/>
    </row>
    <row r="18" ht="15.0" customHeight="1">
      <c r="A18" s="38" t="s">
        <v>71</v>
      </c>
      <c r="E18" s="39"/>
      <c r="F18" s="40">
        <v>134.0</v>
      </c>
      <c r="G18" s="40">
        <v>2.75</v>
      </c>
      <c r="H18" s="41">
        <f t="shared" si="1"/>
        <v>368.5</v>
      </c>
      <c r="I18" s="18"/>
    </row>
    <row r="19" ht="15.0" customHeight="1">
      <c r="A19" s="38"/>
      <c r="E19" s="39"/>
      <c r="F19" s="40"/>
      <c r="G19" s="40"/>
      <c r="H19" s="41"/>
      <c r="I19" s="18"/>
    </row>
    <row r="20" ht="15.0" customHeight="1">
      <c r="A20" s="38"/>
      <c r="E20" s="39"/>
      <c r="F20" s="40"/>
      <c r="G20" s="40"/>
      <c r="H20" s="41">
        <f>F20*G20</f>
        <v>0</v>
      </c>
      <c r="I20" s="18"/>
    </row>
    <row r="21" ht="15.0" customHeight="1">
      <c r="A21" s="18"/>
      <c r="E21" s="39"/>
      <c r="F21" s="41"/>
      <c r="G21" s="41"/>
      <c r="H21" s="41"/>
      <c r="I21" s="18"/>
    </row>
    <row r="22" ht="15.0" customHeight="1">
      <c r="A22" s="38" t="s">
        <v>31</v>
      </c>
      <c r="E22" s="39"/>
      <c r="F22" s="41"/>
      <c r="G22" s="41"/>
      <c r="H22" s="41"/>
      <c r="I22" s="18"/>
    </row>
    <row r="23" ht="15.0" customHeight="1">
      <c r="A23" s="38" t="s">
        <v>32</v>
      </c>
      <c r="E23" s="39"/>
      <c r="F23" s="41"/>
      <c r="G23" s="41"/>
      <c r="H23" s="41"/>
      <c r="I23" s="18"/>
    </row>
    <row r="24" ht="15.0" customHeight="1">
      <c r="A24" s="18"/>
      <c r="E24" s="39"/>
      <c r="F24" s="41"/>
      <c r="G24" s="41"/>
      <c r="H24" s="41"/>
      <c r="I24" s="18"/>
    </row>
    <row r="25" ht="15.0" customHeight="1">
      <c r="A25" s="38" t="s">
        <v>33</v>
      </c>
      <c r="E25" s="39"/>
      <c r="F25" s="41"/>
      <c r="G25" s="41"/>
      <c r="H25" s="41"/>
      <c r="I25" s="18"/>
    </row>
    <row r="26" ht="15.0" customHeight="1">
      <c r="A26" s="38" t="s">
        <v>34</v>
      </c>
      <c r="E26" s="39"/>
      <c r="F26" s="41"/>
      <c r="G26" s="41"/>
      <c r="H26" s="41"/>
      <c r="I26" s="18"/>
    </row>
    <row r="27" ht="15.0" customHeight="1">
      <c r="A27" s="38" t="s">
        <v>35</v>
      </c>
      <c r="E27" s="39"/>
      <c r="F27" s="42"/>
      <c r="G27" s="42"/>
      <c r="H27" s="41"/>
      <c r="I27" s="18"/>
    </row>
    <row r="28" ht="15.0" customHeight="1">
      <c r="A28" s="18"/>
      <c r="E28" s="39"/>
      <c r="F28" s="43" t="s">
        <v>36</v>
      </c>
      <c r="G28" s="44"/>
      <c r="H28" s="41"/>
      <c r="I28" s="18"/>
    </row>
    <row r="29" ht="15.0" customHeight="1">
      <c r="A29" s="45"/>
      <c r="B29" s="46"/>
      <c r="C29" s="46"/>
      <c r="D29" s="46"/>
      <c r="E29" s="47"/>
      <c r="F29" s="43" t="s">
        <v>37</v>
      </c>
      <c r="G29" s="44"/>
      <c r="H29" s="42"/>
      <c r="I29" s="18"/>
    </row>
    <row r="30">
      <c r="A30" s="34"/>
      <c r="B30" s="34"/>
      <c r="C30" s="34"/>
      <c r="D30" s="35"/>
      <c r="E30" s="48" t="s">
        <v>38</v>
      </c>
      <c r="F30" s="30"/>
      <c r="G30" s="49"/>
      <c r="H30" s="50">
        <f>H15+H16+H17+H18+H19+H20</f>
        <v>1316</v>
      </c>
      <c r="I30" s="18"/>
    </row>
    <row r="31">
      <c r="E31" s="34"/>
      <c r="F31" s="34"/>
      <c r="G31" s="34"/>
      <c r="H31" s="34"/>
    </row>
    <row r="32">
      <c r="A32" s="51" t="s">
        <v>39</v>
      </c>
    </row>
    <row r="33">
      <c r="A33" s="51" t="s">
        <v>40</v>
      </c>
    </row>
    <row r="34">
      <c r="A34" s="51" t="s">
        <v>41</v>
      </c>
    </row>
    <row r="36">
      <c r="A36" s="52" t="s">
        <v>42</v>
      </c>
    </row>
    <row r="37">
      <c r="A37" s="53" t="s">
        <v>43</v>
      </c>
    </row>
    <row r="38">
      <c r="A38" s="54"/>
    </row>
  </sheetData>
  <mergeCells count="40">
    <mergeCell ref="B12:E12"/>
    <mergeCell ref="B11:E11"/>
    <mergeCell ref="A18:E18"/>
    <mergeCell ref="A19:E19"/>
    <mergeCell ref="A14:E14"/>
    <mergeCell ref="A15:E15"/>
    <mergeCell ref="A17:E17"/>
    <mergeCell ref="F3:G3"/>
    <mergeCell ref="A16:E16"/>
    <mergeCell ref="A28:E28"/>
    <mergeCell ref="A27:E27"/>
    <mergeCell ref="A24:E24"/>
    <mergeCell ref="A23:E23"/>
    <mergeCell ref="A29:E29"/>
    <mergeCell ref="F28:G28"/>
    <mergeCell ref="F29:G29"/>
    <mergeCell ref="E30:F30"/>
    <mergeCell ref="A22:E22"/>
    <mergeCell ref="A25:E25"/>
    <mergeCell ref="A26:E26"/>
    <mergeCell ref="A20:E20"/>
    <mergeCell ref="A21:E21"/>
    <mergeCell ref="G10:H10"/>
    <mergeCell ref="G11:H11"/>
    <mergeCell ref="G1:H1"/>
    <mergeCell ref="G12:H12"/>
    <mergeCell ref="B10:E10"/>
    <mergeCell ref="A9:H9"/>
    <mergeCell ref="F4:G4"/>
    <mergeCell ref="F6:G6"/>
    <mergeCell ref="A1:E1"/>
    <mergeCell ref="A2:B2"/>
    <mergeCell ref="A3:B3"/>
    <mergeCell ref="A4:B4"/>
    <mergeCell ref="A32:E32"/>
    <mergeCell ref="A33:E33"/>
    <mergeCell ref="A34:E34"/>
    <mergeCell ref="A36:H36"/>
    <mergeCell ref="A37:H37"/>
    <mergeCell ref="A38:G38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/>
  <drawing r:id="rId1"/>
</worksheet>
</file>