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<sst xmlns="http://schemas.openxmlformats.org/spreadsheetml/2006/main" count="73" uniqueCount="68">
  <si>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</si>
  <si>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</si>
  <si>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</si>
  <si>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</si>
  <si>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</si>
  <si>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</si>
  <si>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</si>
  <si>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</si>
  <si>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</si>
  <si>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</si>
  <si>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troy008</t>
  </si>
  <si>
    <t>Customer Information</t>
  </si>
  <si>
    <t>Name:</t>
  </si>
  <si>
    <t>TROY</t>
  </si>
  <si>
    <t>Phone:</t>
  </si>
  <si>
    <t>Address:</t>
  </si>
  <si>
    <t>1146 keyes ave</t>
  </si>
  <si>
    <t>Cell:</t>
  </si>
  <si>
    <t>City, St. Zip:</t>
  </si>
  <si>
    <t>winter park</t>
  </si>
  <si>
    <t>Email:</t>
  </si>
  <si>
    <t>Description Labor only</t>
  </si>
  <si>
    <t>Qty</t>
  </si>
  <si>
    <t>Price</t>
  </si>
  <si>
    <t>Amount</t>
  </si>
  <si>
    <t>Laundry Room  tile 12X24 75 sqft</t>
  </si>
  <si>
    <t xml:space="preserve">  </t>
  </si>
  <si>
    <t>Master Bath</t>
  </si>
  <si>
    <t xml:space="preserve">walls ( 24X12) </t>
  </si>
  <si>
    <t>niche( only installing niche $75) ( framing and installing 150</t>
  </si>
  <si>
    <t>Showerfloor( mortar bed , installing)  mosaic</t>
  </si>
  <si>
    <t>Master Bath floor  12x24 tile hall closet bathroom</t>
  </si>
  <si>
    <t>linear drain</t>
  </si>
  <si>
    <t>bath tub niche</t>
  </si>
  <si>
    <t>bath tub wall 6x36 tile</t>
  </si>
  <si>
    <t>bath tub floor 6x36tile</t>
  </si>
  <si>
    <t>bath tub ceiling 6X36 tile</t>
  </si>
  <si>
    <t>work around window</t>
  </si>
  <si>
    <t>Pool Bathroom</t>
  </si>
  <si>
    <t>floor 18X36 tile</t>
  </si>
  <si>
    <t>Bath #1</t>
  </si>
  <si>
    <t>basic installation ceramic tile Wall (3x8) bathroom</t>
  </si>
  <si>
    <t xml:space="preserve">showerfloor( mortar bed , installing)  </t>
  </si>
  <si>
    <t xml:space="preserve">bath floor tile 12x24 </t>
  </si>
  <si>
    <t>bath #2</t>
  </si>
  <si>
    <t>s bathroons wall (12X24)</t>
  </si>
  <si>
    <t>8x8 hexagonaltile floor</t>
  </si>
  <si>
    <t>Powder  bath upstairs</t>
  </si>
  <si>
    <t>24x24 tile  floor</t>
  </si>
  <si>
    <t>Bath #5</t>
  </si>
  <si>
    <t>floor 12X24 tile</t>
  </si>
  <si>
    <t>shower floor 2x1 mosaic</t>
  </si>
  <si>
    <t xml:space="preserve">6X6 wall tile </t>
  </si>
  <si>
    <t>cement board instalation</t>
  </si>
  <si>
    <t>grinder  @60/ hour/ self level 30/ bag( 226 minutes)</t>
  </si>
  <si>
    <t>spacer (1 box)</t>
  </si>
  <si>
    <t>prep wall 3 wall( 100 each one)</t>
  </si>
  <si>
    <t>*new * wine niche</t>
  </si>
  <si>
    <t>front  porch  *new*</t>
  </si>
  <si>
    <t>Subtotal</t>
  </si>
  <si>
    <t>paid 12/04/2020</t>
  </si>
  <si>
    <t>paid on 01/22/21</t>
  </si>
  <si>
    <t>please pay 02/19/21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</si>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</sst>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44211.0</v>
      </c>
    </row>
    <row r="3">
      <c r="A3" s="3" t="s">
        <v>4</v>
      </c>
      <c r="F3" s="4" t="s">
        <v>5</v>
      </c>
      <c r="H3" s="3">
        <v>2062.0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75.0</v>
      </c>
      <c r="G15" s="28">
        <v>2.9</v>
      </c>
      <c r="H15" s="29">
        <f>G15*F15</f>
        <v>217.5</v>
      </c>
      <c r="I15" s="11"/>
    </row>
    <row r="16" ht="15.0" customHeight="1">
      <c r="A16" s="27"/>
      <c r="E16" s="20"/>
      <c r="F16" s="28"/>
      <c r="G16" s="28" t="s">
        <v>26</v>
      </c>
      <c r="H16" s="28"/>
      <c r="I16" s="11"/>
    </row>
    <row r="17" ht="15.0" customHeight="1">
      <c r="A17" s="27" t="s">
        <v>27</v>
      </c>
      <c r="E17" s="20"/>
      <c r="F17" s="28"/>
      <c r="G17" s="28"/>
      <c r="H17" s="28">
        <f>F17*G17</f>
        <v>0</v>
      </c>
      <c r="I17" s="11"/>
    </row>
    <row r="18" ht="15.0" customHeight="1">
      <c r="A18" s="27" t="s">
        <v>28</v>
      </c>
      <c r="E18" s="20"/>
      <c r="F18" s="28">
        <v>155.0</v>
      </c>
      <c r="G18" s="28">
        <v>9.0</v>
      </c>
      <c r="H18" s="28">
        <f t="shared" ref="H18:H21" si="1">G18*F18</f>
        <v>1395</v>
      </c>
      <c r="I18" s="11"/>
    </row>
    <row r="19" ht="15.0" customHeight="1">
      <c r="A19" s="27" t="s">
        <v>29</v>
      </c>
      <c r="E19" s="20"/>
      <c r="F19" s="28">
        <v>2.0</v>
      </c>
      <c r="G19" s="28">
        <v>75.0</v>
      </c>
      <c r="H19" s="28">
        <f t="shared" si="1"/>
        <v>150</v>
      </c>
      <c r="I19" s="11"/>
    </row>
    <row r="20" ht="15.0" customHeight="1">
      <c r="A20" s="27" t="s">
        <v>30</v>
      </c>
      <c r="E20" s="20"/>
      <c r="F20" s="28">
        <v>35.0</v>
      </c>
      <c r="G20" s="28">
        <v>18.0</v>
      </c>
      <c r="H20" s="28">
        <f t="shared" si="1"/>
        <v>630</v>
      </c>
      <c r="I20" s="11"/>
    </row>
    <row r="21" ht="15.0" customHeight="1">
      <c r="A21" s="27" t="s">
        <v>31</v>
      </c>
      <c r="E21" s="20"/>
      <c r="F21" s="28">
        <v>268.0</v>
      </c>
      <c r="G21" s="28">
        <v>2.9</v>
      </c>
      <c r="H21" s="29">
        <f t="shared" si="1"/>
        <v>777.2</v>
      </c>
      <c r="I21" s="11"/>
    </row>
    <row r="22" ht="15.0" customHeight="1">
      <c r="A22" s="27" t="s">
        <v>32</v>
      </c>
      <c r="E22" s="20"/>
      <c r="F22" s="28">
        <v>1.0</v>
      </c>
      <c r="G22" s="28">
        <v>120.0</v>
      </c>
      <c r="H22" s="28">
        <v>120.0</v>
      </c>
      <c r="I22" s="11"/>
    </row>
    <row r="23" ht="15.0" customHeight="1">
      <c r="A23" s="27" t="s">
        <v>33</v>
      </c>
      <c r="E23" s="20"/>
      <c r="F23" s="28"/>
      <c r="G23" s="28"/>
      <c r="H23" s="29"/>
      <c r="I23" s="11"/>
    </row>
    <row r="24" ht="15.0" customHeight="1">
      <c r="A24" s="27" t="s">
        <v>34</v>
      </c>
      <c r="E24" s="20"/>
      <c r="F24" s="28">
        <v>70.0</v>
      </c>
      <c r="G24" s="28">
        <v>9.0</v>
      </c>
      <c r="H24" s="29">
        <f t="shared" ref="H24:H27" si="2">G24*F24</f>
        <v>630</v>
      </c>
      <c r="I24" s="11"/>
    </row>
    <row r="25" ht="15.0" customHeight="1">
      <c r="A25" s="27" t="s">
        <v>35</v>
      </c>
      <c r="E25" s="20"/>
      <c r="F25" s="28">
        <v>24.0</v>
      </c>
      <c r="G25" s="28">
        <v>2.9</v>
      </c>
      <c r="H25" s="29">
        <f t="shared" si="2"/>
        <v>69.6</v>
      </c>
      <c r="I25" s="11"/>
    </row>
    <row r="26" ht="15.0" customHeight="1">
      <c r="A26" s="27" t="s">
        <v>36</v>
      </c>
      <c r="E26" s="20"/>
      <c r="F26" s="28">
        <v>25.0</v>
      </c>
      <c r="G26" s="28">
        <v>12.0</v>
      </c>
      <c r="H26" s="29">
        <f t="shared" si="2"/>
        <v>300</v>
      </c>
      <c r="I26" s="11"/>
    </row>
    <row r="27" ht="15.0" customHeight="1">
      <c r="A27" s="27" t="s">
        <v>37</v>
      </c>
      <c r="E27" s="20"/>
      <c r="F27" s="28">
        <v>2.0</v>
      </c>
      <c r="G27" s="28">
        <v>75.0</v>
      </c>
      <c r="H27" s="29">
        <f t="shared" si="2"/>
        <v>150</v>
      </c>
      <c r="I27" s="11"/>
    </row>
    <row r="28" ht="15.0" customHeight="1">
      <c r="A28" s="27" t="s">
        <v>38</v>
      </c>
      <c r="E28" s="20"/>
      <c r="F28" s="28"/>
      <c r="G28" s="28"/>
      <c r="H28" s="29"/>
      <c r="I28" s="11"/>
    </row>
    <row r="29" ht="15.0" customHeight="1">
      <c r="A29" s="27" t="s">
        <v>39</v>
      </c>
      <c r="E29" s="20"/>
      <c r="F29" s="28">
        <v>49.0</v>
      </c>
      <c r="G29" s="28">
        <v>3.45</v>
      </c>
      <c r="H29" s="29">
        <f>G29*F29</f>
        <v>169.05</v>
      </c>
      <c r="I29" s="11"/>
    </row>
    <row r="30" ht="15.0" customHeight="1">
      <c r="A30" s="27" t="s">
        <v>40</v>
      </c>
      <c r="E30" s="20"/>
      <c r="F30" s="28"/>
      <c r="G30" s="28"/>
      <c r="H30" s="29"/>
      <c r="I30" s="11"/>
    </row>
    <row r="31" ht="15.0" customHeight="1">
      <c r="A31" s="27" t="s">
        <v>41</v>
      </c>
      <c r="E31" s="20"/>
      <c r="F31" s="28">
        <v>112.0</v>
      </c>
      <c r="G31" s="28">
        <v>9.0</v>
      </c>
      <c r="H31" s="29">
        <f t="shared" ref="H31:H34" si="3">G31*F31</f>
        <v>1008</v>
      </c>
      <c r="I31" s="11"/>
    </row>
    <row r="32" ht="15.0" customHeight="1">
      <c r="A32" s="27" t="s">
        <v>42</v>
      </c>
      <c r="E32" s="20"/>
      <c r="F32" s="28">
        <v>15.0</v>
      </c>
      <c r="G32" s="28">
        <v>18.0</v>
      </c>
      <c r="H32" s="29">
        <f t="shared" si="3"/>
        <v>270</v>
      </c>
      <c r="I32" s="11"/>
    </row>
    <row r="33" ht="15.0" customHeight="1">
      <c r="A33" s="27" t="s">
        <v>29</v>
      </c>
      <c r="E33" s="20"/>
      <c r="F33" s="28">
        <v>1.0</v>
      </c>
      <c r="G33" s="28">
        <v>75.0</v>
      </c>
      <c r="H33" s="29">
        <f t="shared" si="3"/>
        <v>75</v>
      </c>
      <c r="I33" s="11"/>
    </row>
    <row r="34" ht="15.0" customHeight="1">
      <c r="A34" s="27" t="s">
        <v>43</v>
      </c>
      <c r="E34" s="20"/>
      <c r="F34" s="28">
        <v>42.0</v>
      </c>
      <c r="G34" s="28">
        <v>2.9</v>
      </c>
      <c r="H34" s="29">
        <f t="shared" si="3"/>
        <v>121.8</v>
      </c>
      <c r="I34" s="11"/>
    </row>
    <row r="35" ht="15.0" customHeight="1">
      <c r="A35" s="27" t="s">
        <v>44</v>
      </c>
      <c r="E35" s="20"/>
      <c r="F35" s="28"/>
      <c r="G35" s="28"/>
      <c r="H35" s="29"/>
      <c r="I35" s="11"/>
    </row>
    <row r="36" ht="15.0" customHeight="1">
      <c r="A36" s="27" t="s">
        <v>45</v>
      </c>
      <c r="E36" s="20"/>
      <c r="F36" s="28">
        <v>105.0</v>
      </c>
      <c r="G36" s="28">
        <v>9.0</v>
      </c>
      <c r="H36" s="29">
        <f t="shared" ref="H36:H38" si="4">G36*F36</f>
        <v>945</v>
      </c>
      <c r="I36" s="11"/>
    </row>
    <row r="37" ht="15.0" customHeight="1">
      <c r="A37" s="27" t="s">
        <v>46</v>
      </c>
      <c r="E37" s="20"/>
      <c r="F37" s="28">
        <v>60.0</v>
      </c>
      <c r="G37" s="28">
        <v>3.6</v>
      </c>
      <c r="H37" s="29">
        <f t="shared" si="4"/>
        <v>216</v>
      </c>
      <c r="I37" s="11"/>
    </row>
    <row r="38" ht="15.0" customHeight="1">
      <c r="A38" s="27" t="s">
        <v>29</v>
      </c>
      <c r="E38" s="20"/>
      <c r="F38" s="28">
        <v>1.0</v>
      </c>
      <c r="G38" s="28">
        <v>75.0</v>
      </c>
      <c r="H38" s="29">
        <f t="shared" si="4"/>
        <v>75</v>
      </c>
      <c r="I38" s="11"/>
    </row>
    <row r="39" ht="15.0" customHeight="1">
      <c r="A39" s="27" t="s">
        <v>37</v>
      </c>
      <c r="E39" s="20"/>
      <c r="F39" s="28">
        <v>1.0</v>
      </c>
      <c r="G39" s="28">
        <v>75.0</v>
      </c>
      <c r="H39" s="28">
        <v>75.0</v>
      </c>
      <c r="I39" s="11"/>
    </row>
    <row r="40" ht="15.0" customHeight="1">
      <c r="A40" s="27" t="s">
        <v>47</v>
      </c>
      <c r="E40" s="20"/>
      <c r="F40" s="28"/>
      <c r="G40" s="28"/>
      <c r="H40" s="29"/>
      <c r="I40" s="11"/>
    </row>
    <row r="41" ht="15.0" customHeight="1">
      <c r="A41" s="27" t="s">
        <v>48</v>
      </c>
      <c r="E41" s="20"/>
      <c r="F41" s="28">
        <v>22.5</v>
      </c>
      <c r="G41" s="28">
        <v>2.9</v>
      </c>
      <c r="H41" s="29">
        <f>G41*F41</f>
        <v>65.25</v>
      </c>
      <c r="I41" s="11"/>
    </row>
    <row r="42" ht="15.0" customHeight="1">
      <c r="A42" s="27" t="s">
        <v>49</v>
      </c>
      <c r="E42" s="20"/>
      <c r="F42" s="28"/>
      <c r="G42" s="28"/>
      <c r="H42" s="29"/>
      <c r="I42" s="11"/>
    </row>
    <row r="43" ht="15.0" customHeight="1">
      <c r="A43" s="27" t="s">
        <v>50</v>
      </c>
      <c r="E43" s="20"/>
      <c r="F43" s="28">
        <v>50.0</v>
      </c>
      <c r="G43" s="28">
        <v>2.9</v>
      </c>
      <c r="H43" s="29">
        <f t="shared" ref="H43:H45" si="5">G43*F43</f>
        <v>145</v>
      </c>
      <c r="I43" s="11"/>
    </row>
    <row r="44" ht="15.0" customHeight="1">
      <c r="A44" s="27" t="s">
        <v>51</v>
      </c>
      <c r="E44" s="20"/>
      <c r="F44" s="28">
        <v>16.0</v>
      </c>
      <c r="G44" s="28">
        <v>18.0</v>
      </c>
      <c r="H44" s="29">
        <f t="shared" si="5"/>
        <v>288</v>
      </c>
      <c r="I44" s="11"/>
    </row>
    <row r="45" ht="15.0" customHeight="1">
      <c r="A45" s="27" t="s">
        <v>52</v>
      </c>
      <c r="E45" s="20"/>
      <c r="F45" s="28">
        <v>122.5</v>
      </c>
      <c r="G45" s="28">
        <v>9.0</v>
      </c>
      <c r="H45" s="29">
        <f t="shared" si="5"/>
        <v>1102.5</v>
      </c>
      <c r="I45" s="11"/>
    </row>
    <row r="46" ht="15.0" customHeight="1">
      <c r="A46" s="27" t="s">
        <v>29</v>
      </c>
      <c r="E46" s="20"/>
      <c r="F46" s="28">
        <v>1.0</v>
      </c>
      <c r="G46" s="28">
        <v>75.0</v>
      </c>
      <c r="H46" s="28">
        <v>75.0</v>
      </c>
      <c r="I46" s="11"/>
    </row>
    <row r="47" ht="15.0" customHeight="1">
      <c r="A47" s="27" t="s">
        <v>37</v>
      </c>
      <c r="E47" s="20"/>
      <c r="F47" s="28">
        <v>1.0</v>
      </c>
      <c r="G47" s="28">
        <v>75.0</v>
      </c>
      <c r="H47" s="28">
        <v>75.0</v>
      </c>
      <c r="I47" s="11"/>
    </row>
    <row r="48" ht="15.0" customHeight="1">
      <c r="A48" s="27" t="s">
        <v>53</v>
      </c>
      <c r="E48" s="20"/>
      <c r="F48" s="28">
        <v>75.0</v>
      </c>
      <c r="G48" s="28">
        <v>2.0</v>
      </c>
      <c r="H48" s="29">
        <f>G48*F48</f>
        <v>150</v>
      </c>
      <c r="I48" s="11"/>
    </row>
    <row r="49" ht="15.0" customHeight="1">
      <c r="A49" s="27" t="s">
        <v>54</v>
      </c>
      <c r="E49" s="20"/>
      <c r="F49" s="28">
        <v>1.0</v>
      </c>
      <c r="G49" s="28">
        <v>226.0</v>
      </c>
      <c r="H49" s="28">
        <v>226.0</v>
      </c>
      <c r="I49" s="11"/>
    </row>
    <row r="50" ht="15.0" customHeight="1">
      <c r="A50" s="27" t="s">
        <v>55</v>
      </c>
      <c r="E50" s="20"/>
      <c r="F50" s="30">
        <v>1.0</v>
      </c>
      <c r="G50" s="30">
        <v>126.0</v>
      </c>
      <c r="H50" s="28">
        <v>126.0</v>
      </c>
      <c r="I50" s="11"/>
    </row>
    <row r="51" ht="15.0" customHeight="1">
      <c r="A51" s="27" t="s">
        <v>56</v>
      </c>
      <c r="E51" s="20"/>
      <c r="F51" s="30">
        <v>3.0</v>
      </c>
      <c r="G51" s="30">
        <v>100.0</v>
      </c>
      <c r="H51" s="28">
        <v>300.0</v>
      </c>
      <c r="I51" s="11"/>
    </row>
    <row r="52" ht="15.0" customHeight="1">
      <c r="A52" s="27" t="s">
        <v>57</v>
      </c>
      <c r="E52" s="20"/>
      <c r="F52" s="30">
        <v>56.0</v>
      </c>
      <c r="G52" s="30">
        <v>15.0</v>
      </c>
      <c r="H52" s="29">
        <f>F52*G52</f>
        <v>840</v>
      </c>
      <c r="I52" s="11"/>
    </row>
    <row r="53" ht="15.0" customHeight="1">
      <c r="A53" s="27" t="s">
        <v>58</v>
      </c>
      <c r="D53" s="20"/>
      <c r="E53" s="28"/>
      <c r="F53" s="30">
        <v>214.0</v>
      </c>
      <c r="G53" s="30">
        <v>2.9</v>
      </c>
      <c r="H53" s="29">
        <f>G53*F53</f>
        <v>620.6</v>
      </c>
      <c r="I53" s="11"/>
    </row>
    <row r="54" ht="15.0" customHeight="1">
      <c r="A54" s="27"/>
      <c r="E54" s="20"/>
      <c r="F54" s="31" t="s">
        <v>59</v>
      </c>
      <c r="G54" s="10"/>
      <c r="H54" s="29">
        <f>sum(H15:H53)</f>
        <v>11407.5</v>
      </c>
      <c r="I54" s="11"/>
    </row>
    <row r="55" ht="15.0" customHeight="1">
      <c r="A55" s="32"/>
      <c r="B55" s="7"/>
      <c r="C55" s="7"/>
      <c r="D55" s="7"/>
      <c r="E55" s="24"/>
      <c r="F55" s="31"/>
      <c r="G55" s="10"/>
      <c r="H55" s="33"/>
      <c r="I55" s="11"/>
    </row>
    <row r="56">
      <c r="D56" s="20"/>
      <c r="E56" s="34" t="s">
        <v>60</v>
      </c>
      <c r="F56" s="35"/>
      <c r="G56" s="9"/>
      <c r="H56" s="36">
        <v>4587.0</v>
      </c>
      <c r="I56" s="11"/>
    </row>
    <row r="57">
      <c r="D57" s="20"/>
      <c r="E57" s="37" t="s">
        <v>61</v>
      </c>
      <c r="F57" s="38"/>
      <c r="G57" s="39"/>
      <c r="H57" s="40">
        <v>4000.0</v>
      </c>
      <c r="I57" s="11"/>
    </row>
    <row r="58">
      <c r="A58" s="14"/>
      <c r="B58" s="14"/>
      <c r="C58" s="14"/>
      <c r="D58" s="16"/>
      <c r="E58" s="35" t="s">
        <v>62</v>
      </c>
      <c r="F58" s="9"/>
      <c r="G58" s="9"/>
      <c r="H58" s="41">
        <f>H54-H56-H57</f>
        <v>2820.5</v>
      </c>
      <c r="I58" s="11"/>
    </row>
    <row r="59">
      <c r="E59" s="14"/>
      <c r="F59" s="14"/>
      <c r="G59" s="14"/>
      <c r="H59" s="14"/>
    </row>
    <row r="60">
      <c r="A60" s="3" t="s">
        <v>63</v>
      </c>
    </row>
    <row r="61">
      <c r="A61" s="3" t="s">
        <v>64</v>
      </c>
    </row>
    <row r="62">
      <c r="A62" s="3" t="s">
        <v>65</v>
      </c>
    </row>
    <row r="64">
      <c r="A64" s="42" t="s">
        <v>66</v>
      </c>
    </row>
    <row r="65">
      <c r="A65" s="43" t="s">
        <v>67</v>
      </c>
    </row>
    <row r="66">
      <c r="A66" s="44"/>
    </row>
  </sheetData>
  <mergeCells count="66">
    <mergeCell ref="A48:E48"/>
    <mergeCell ref="A49:E49"/>
    <mergeCell ref="A50:E50"/>
    <mergeCell ref="A51:E51"/>
    <mergeCell ref="A52:E52"/>
    <mergeCell ref="A53:D53"/>
    <mergeCell ref="F54:G54"/>
    <mergeCell ref="A64:H64"/>
    <mergeCell ref="A65:H65"/>
    <mergeCell ref="A66:G66"/>
    <mergeCell ref="A54:E54"/>
    <mergeCell ref="A55:E55"/>
    <mergeCell ref="F55:G55"/>
    <mergeCell ref="E58:F58"/>
    <mergeCell ref="A60:E60"/>
    <mergeCell ref="A61:E61"/>
    <mergeCell ref="A62:E62"/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