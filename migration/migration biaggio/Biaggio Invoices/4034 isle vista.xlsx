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<sst xmlns="http://schemas.openxmlformats.org/spreadsheetml/2006/main" count="59" uniqueCount="56">
  <si>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</si>
  <si>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</si>
  <si>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</si>
  <si>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</si>
  <si>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</si>
  <si>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</si>
  <si>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</si>
  <si>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</si>
  <si>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</si>
  <si>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</si>
  <si>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troy011</t>
  </si>
  <si>
    <t>Customer Information</t>
  </si>
  <si>
    <t>Name:</t>
  </si>
  <si>
    <t>TROY</t>
  </si>
  <si>
    <t>Phone:</t>
  </si>
  <si>
    <t>Address:</t>
  </si>
  <si>
    <t>4034 isle vista ave</t>
  </si>
  <si>
    <t>Cell:</t>
  </si>
  <si>
    <t>City, St. Zip:</t>
  </si>
  <si>
    <t xml:space="preserve">belle isle </t>
  </si>
  <si>
    <t>Email:</t>
  </si>
  <si>
    <t>Description Labor only</t>
  </si>
  <si>
    <t>Qty</t>
  </si>
  <si>
    <t>Price</t>
  </si>
  <si>
    <t>Amount</t>
  </si>
  <si>
    <t>Main Flooring whole house  (8X47)</t>
  </si>
  <si>
    <t>Cement board instalation</t>
  </si>
  <si>
    <t>Master Bath</t>
  </si>
  <si>
    <t xml:space="preserve">walls ( 16x48) </t>
  </si>
  <si>
    <t>Accent Wall ( mosaic) add for marble</t>
  </si>
  <si>
    <t>niche( only installing niche $75) ( framing and installing 150</t>
  </si>
  <si>
    <t>Wlork around Windows</t>
  </si>
  <si>
    <t>Showerfloor( mortar bed , installing)  mosaic</t>
  </si>
  <si>
    <t>Master Bath floor  16x48  tile</t>
  </si>
  <si>
    <t>1st floor guest bath with shower</t>
  </si>
  <si>
    <t xml:space="preserve"> wall 3x12 tile</t>
  </si>
  <si>
    <t>showerfloor with mortar bed</t>
  </si>
  <si>
    <t>2nd floor tub bath</t>
  </si>
  <si>
    <t>wall 3x12 subway</t>
  </si>
  <si>
    <t>2 floor showerbath</t>
  </si>
  <si>
    <t>basic installation ceramic tile Wall (3x12) bathroom</t>
  </si>
  <si>
    <t xml:space="preserve">showerfloor( mortar bed , installing)  </t>
  </si>
  <si>
    <t>put paper on the house</t>
  </si>
  <si>
    <t>Laundry</t>
  </si>
  <si>
    <t>floor 10x10 tile (missing dimentions)</t>
  </si>
  <si>
    <t>grinder  @60/ hour/ self level 30/ bag</t>
  </si>
  <si>
    <t>spacer (1 box)</t>
  </si>
  <si>
    <t>Subtotal</t>
  </si>
  <si>
    <t>paid 07/09/21</t>
  </si>
  <si>
    <t>paid 08/27/21</t>
  </si>
  <si>
    <t>pleasay 09/30/21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</si>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</sst>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44380.0</v>
      </c>
    </row>
    <row r="3">
      <c r="A3" s="3" t="s">
        <v>4</v>
      </c>
      <c r="F3" s="4" t="s">
        <v>5</v>
      </c>
      <c r="H3" s="3">
        <v>2119.0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3548.5</v>
      </c>
      <c r="G15" s="28">
        <v>3.1</v>
      </c>
      <c r="H15" s="29">
        <f t="shared" ref="H15:H16" si="1">G15*F15</f>
        <v>11000.35</v>
      </c>
      <c r="I15" s="11"/>
    </row>
    <row r="16" ht="15.0" customHeight="1">
      <c r="A16" s="27" t="s">
        <v>26</v>
      </c>
      <c r="E16" s="20"/>
      <c r="F16" s="28">
        <v>1280.0</v>
      </c>
      <c r="G16" s="28">
        <v>2.5</v>
      </c>
      <c r="H16" s="28">
        <f t="shared" si="1"/>
        <v>3200</v>
      </c>
      <c r="I16" s="11"/>
    </row>
    <row r="17" ht="15.0" customHeight="1">
      <c r="A17" s="30" t="s">
        <v>27</v>
      </c>
      <c r="E17" s="20"/>
      <c r="F17" s="28"/>
      <c r="G17" s="28"/>
      <c r="H17" s="28">
        <f>F17*G17</f>
        <v>0</v>
      </c>
      <c r="I17" s="11"/>
    </row>
    <row r="18" ht="15.0" customHeight="1">
      <c r="A18" s="27" t="s">
        <v>28</v>
      </c>
      <c r="E18" s="20"/>
      <c r="F18" s="28">
        <v>160.0</v>
      </c>
      <c r="G18" s="28">
        <v>12.0</v>
      </c>
      <c r="H18" s="28">
        <f t="shared" ref="H18:H23" si="2">G18*F18</f>
        <v>1920</v>
      </c>
      <c r="I18" s="11"/>
    </row>
    <row r="19" ht="15.0" customHeight="1">
      <c r="A19" s="27" t="s">
        <v>29</v>
      </c>
      <c r="E19" s="20"/>
      <c r="F19" s="28">
        <v>75.0</v>
      </c>
      <c r="G19" s="28">
        <v>13.0</v>
      </c>
      <c r="H19" s="28">
        <f t="shared" si="2"/>
        <v>975</v>
      </c>
      <c r="I19" s="11"/>
    </row>
    <row r="20" ht="15.0" customHeight="1">
      <c r="A20" s="27" t="s">
        <v>30</v>
      </c>
      <c r="E20" s="20"/>
      <c r="F20" s="28">
        <v>4.0</v>
      </c>
      <c r="G20" s="28">
        <v>75.0</v>
      </c>
      <c r="H20" s="28">
        <f t="shared" si="2"/>
        <v>300</v>
      </c>
      <c r="I20" s="11"/>
    </row>
    <row r="21" ht="15.0" customHeight="1">
      <c r="A21" s="27" t="s">
        <v>31</v>
      </c>
      <c r="E21" s="20"/>
      <c r="F21" s="28">
        <v>3.0</v>
      </c>
      <c r="G21" s="28">
        <v>75.0</v>
      </c>
      <c r="H21" s="28">
        <f t="shared" si="2"/>
        <v>225</v>
      </c>
      <c r="I21" s="11"/>
    </row>
    <row r="22" ht="15.0" customHeight="1">
      <c r="A22" s="27" t="s">
        <v>32</v>
      </c>
      <c r="E22" s="20"/>
      <c r="F22" s="28">
        <v>72.0</v>
      </c>
      <c r="G22" s="28">
        <v>18.0</v>
      </c>
      <c r="H22" s="28">
        <f t="shared" si="2"/>
        <v>1296</v>
      </c>
      <c r="I22" s="11"/>
    </row>
    <row r="23" ht="15.0" customHeight="1">
      <c r="A23" s="27" t="s">
        <v>33</v>
      </c>
      <c r="E23" s="20"/>
      <c r="F23" s="28">
        <v>239.0</v>
      </c>
      <c r="G23" s="28">
        <v>3.45</v>
      </c>
      <c r="H23" s="29">
        <f t="shared" si="2"/>
        <v>824.55</v>
      </c>
      <c r="I23" s="11"/>
    </row>
    <row r="24" ht="15.0" customHeight="1">
      <c r="A24" s="30" t="s">
        <v>34</v>
      </c>
      <c r="E24" s="20"/>
      <c r="F24" s="28"/>
      <c r="G24" s="28"/>
      <c r="H24" s="28"/>
      <c r="I24" s="11"/>
    </row>
    <row r="25" ht="15.0" customHeight="1">
      <c r="A25" s="27" t="s">
        <v>30</v>
      </c>
      <c r="E25" s="20"/>
      <c r="F25" s="28">
        <v>1.0</v>
      </c>
      <c r="G25" s="28">
        <v>75.0</v>
      </c>
      <c r="H25" s="28">
        <v>75.0</v>
      </c>
      <c r="I25" s="11"/>
    </row>
    <row r="26" ht="15.0" customHeight="1">
      <c r="A26" s="27" t="s">
        <v>35</v>
      </c>
      <c r="E26" s="20"/>
      <c r="F26" s="28">
        <v>125.0</v>
      </c>
      <c r="G26" s="28">
        <v>9.0</v>
      </c>
      <c r="H26" s="29">
        <f t="shared" ref="H26:H30" si="3">G26*F26</f>
        <v>1125</v>
      </c>
      <c r="I26" s="11"/>
    </row>
    <row r="27" ht="15.0" customHeight="1">
      <c r="A27" s="27" t="s">
        <v>36</v>
      </c>
      <c r="E27" s="20"/>
      <c r="F27" s="28">
        <v>19.5</v>
      </c>
      <c r="G27" s="28">
        <v>18.0</v>
      </c>
      <c r="H27" s="29">
        <f t="shared" si="3"/>
        <v>351</v>
      </c>
      <c r="I27" s="11"/>
    </row>
    <row r="28" ht="15.0" customHeight="1">
      <c r="A28" s="27" t="s">
        <v>37</v>
      </c>
      <c r="E28" s="20"/>
      <c r="F28" s="28"/>
      <c r="G28" s="28"/>
      <c r="H28" s="29">
        <f t="shared" si="3"/>
        <v>0</v>
      </c>
      <c r="I28" s="11"/>
    </row>
    <row r="29" ht="15.0" customHeight="1">
      <c r="A29" s="27" t="s">
        <v>30</v>
      </c>
      <c r="E29" s="20"/>
      <c r="F29" s="28">
        <v>1.0</v>
      </c>
      <c r="G29" s="28">
        <v>75.0</v>
      </c>
      <c r="H29" s="29">
        <f t="shared" si="3"/>
        <v>75</v>
      </c>
      <c r="I29" s="11"/>
    </row>
    <row r="30" ht="15.0" customHeight="1">
      <c r="A30" s="27" t="s">
        <v>38</v>
      </c>
      <c r="E30" s="20"/>
      <c r="F30" s="28">
        <v>90.0</v>
      </c>
      <c r="G30" s="28">
        <v>9.0</v>
      </c>
      <c r="H30" s="29">
        <f t="shared" si="3"/>
        <v>810</v>
      </c>
      <c r="I30" s="11"/>
    </row>
    <row r="31" ht="15.0" customHeight="1">
      <c r="A31" s="27" t="s">
        <v>39</v>
      </c>
      <c r="E31" s="20"/>
      <c r="F31" s="28"/>
      <c r="G31" s="28"/>
      <c r="H31" s="29"/>
      <c r="I31" s="11"/>
    </row>
    <row r="32" ht="15.0" customHeight="1">
      <c r="A32" s="27" t="s">
        <v>40</v>
      </c>
      <c r="E32" s="20"/>
      <c r="F32" s="28">
        <v>115.0</v>
      </c>
      <c r="G32" s="28">
        <v>9.0</v>
      </c>
      <c r="H32" s="29">
        <f t="shared" ref="H32:H35" si="4">G32*F32</f>
        <v>1035</v>
      </c>
      <c r="I32" s="11"/>
    </row>
    <row r="33" ht="15.0" customHeight="1">
      <c r="A33" s="27" t="s">
        <v>41</v>
      </c>
      <c r="E33" s="20"/>
      <c r="F33" s="28">
        <v>16.5</v>
      </c>
      <c r="G33" s="28">
        <v>18.0</v>
      </c>
      <c r="H33" s="29">
        <f t="shared" si="4"/>
        <v>297</v>
      </c>
      <c r="I33" s="11"/>
    </row>
    <row r="34" ht="15.0" customHeight="1">
      <c r="A34" s="27" t="s">
        <v>30</v>
      </c>
      <c r="E34" s="20"/>
      <c r="F34" s="28">
        <v>1.0</v>
      </c>
      <c r="G34" s="28">
        <v>75.0</v>
      </c>
      <c r="H34" s="29">
        <f t="shared" si="4"/>
        <v>75</v>
      </c>
      <c r="I34" s="11"/>
    </row>
    <row r="35" ht="15.0" customHeight="1">
      <c r="A35" s="27" t="s">
        <v>42</v>
      </c>
      <c r="E35" s="20"/>
      <c r="F35" s="28">
        <v>3787.0</v>
      </c>
      <c r="G35" s="28">
        <v>0.15</v>
      </c>
      <c r="H35" s="29">
        <f t="shared" si="4"/>
        <v>568.05</v>
      </c>
      <c r="I35" s="11"/>
    </row>
    <row r="36" ht="15.0" customHeight="1">
      <c r="A36" s="27" t="s">
        <v>43</v>
      </c>
      <c r="E36" s="20"/>
      <c r="F36" s="28"/>
      <c r="G36" s="28"/>
      <c r="H36" s="29"/>
      <c r="I36" s="11"/>
    </row>
    <row r="37" ht="15.0" customHeight="1">
      <c r="A37" s="27" t="s">
        <v>44</v>
      </c>
      <c r="E37" s="20"/>
      <c r="F37" s="28"/>
      <c r="G37" s="28">
        <v>2.9</v>
      </c>
      <c r="H37" s="29">
        <f>G37*F37</f>
        <v>0</v>
      </c>
      <c r="I37" s="11"/>
    </row>
    <row r="38" ht="15.0" customHeight="1">
      <c r="A38" s="27" t="s">
        <v>45</v>
      </c>
      <c r="E38" s="20"/>
      <c r="F38" s="28"/>
      <c r="G38" s="28"/>
      <c r="H38" s="28"/>
      <c r="I38" s="11"/>
    </row>
    <row r="39" ht="15.0" customHeight="1">
      <c r="A39" s="27" t="s">
        <v>46</v>
      </c>
      <c r="E39" s="20"/>
      <c r="F39" s="31">
        <v>5.0</v>
      </c>
      <c r="G39" s="31">
        <v>126.0</v>
      </c>
      <c r="H39" s="28">
        <f>G39*F39</f>
        <v>630</v>
      </c>
      <c r="I39" s="11"/>
    </row>
    <row r="40" ht="15.0" customHeight="1">
      <c r="A40" s="27"/>
      <c r="E40" s="20"/>
      <c r="F40" s="31"/>
      <c r="G40" s="31"/>
      <c r="H40" s="28"/>
      <c r="I40" s="11"/>
    </row>
    <row r="41" ht="15.0" customHeight="1">
      <c r="A41" s="27"/>
      <c r="E41" s="20"/>
      <c r="F41" s="31"/>
      <c r="G41" s="31"/>
      <c r="H41" s="29">
        <f>F41*G41</f>
        <v>0</v>
      </c>
      <c r="I41" s="11"/>
    </row>
    <row r="42" ht="15.0" customHeight="1">
      <c r="A42" s="27"/>
      <c r="D42" s="20"/>
      <c r="E42" s="28"/>
      <c r="F42" s="31"/>
      <c r="G42" s="31"/>
      <c r="H42" s="29">
        <f>G42*F42</f>
        <v>0</v>
      </c>
      <c r="I42" s="11"/>
    </row>
    <row r="43" ht="15.0" customHeight="1">
      <c r="A43" s="27"/>
      <c r="E43" s="20"/>
      <c r="F43" s="32" t="s">
        <v>47</v>
      </c>
      <c r="G43" s="10"/>
      <c r="H43" s="29">
        <f>sum(H15:H42)</f>
        <v>24781.95</v>
      </c>
      <c r="I43" s="11"/>
    </row>
    <row r="44" ht="15.0" customHeight="1">
      <c r="A44" s="33"/>
      <c r="B44" s="7"/>
      <c r="C44" s="7"/>
      <c r="D44" s="7"/>
      <c r="E44" s="24"/>
      <c r="F44" s="32"/>
      <c r="G44" s="10"/>
      <c r="H44" s="34"/>
      <c r="I44" s="11"/>
    </row>
    <row r="45">
      <c r="D45" s="20"/>
      <c r="E45" s="35" t="s">
        <v>48</v>
      </c>
      <c r="F45" s="36"/>
      <c r="G45" s="9"/>
      <c r="H45" s="37">
        <v>8630.0</v>
      </c>
      <c r="I45" s="11"/>
    </row>
    <row r="46">
      <c r="D46" s="20"/>
      <c r="E46" s="38" t="s">
        <v>49</v>
      </c>
      <c r="F46" s="39"/>
      <c r="G46" s="40"/>
      <c r="H46" s="41">
        <v>7700.0</v>
      </c>
      <c r="I46" s="11"/>
    </row>
    <row r="47">
      <c r="A47" s="14"/>
      <c r="B47" s="14"/>
      <c r="C47" s="14"/>
      <c r="D47" s="16"/>
      <c r="E47" s="36" t="s">
        <v>50</v>
      </c>
      <c r="F47" s="9"/>
      <c r="G47" s="9"/>
      <c r="H47" s="42">
        <f>H43-H45-H46</f>
        <v>8451.95</v>
      </c>
      <c r="I47" s="11"/>
    </row>
    <row r="48">
      <c r="E48" s="14"/>
      <c r="F48" s="14"/>
      <c r="G48" s="14"/>
      <c r="H48" s="14"/>
    </row>
    <row r="49">
      <c r="A49" s="3" t="s">
        <v>51</v>
      </c>
    </row>
    <row r="50">
      <c r="A50" s="3" t="s">
        <v>52</v>
      </c>
    </row>
    <row r="51">
      <c r="A51" s="3" t="s">
        <v>53</v>
      </c>
    </row>
    <row r="53">
      <c r="A53" s="43" t="s">
        <v>54</v>
      </c>
    </row>
    <row r="54">
      <c r="A54" s="44" t="s">
        <v>55</v>
      </c>
    </row>
    <row r="55">
      <c r="A55" s="45"/>
    </row>
  </sheetData>
  <mergeCells count="5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9:E49"/>
    <mergeCell ref="A50:E50"/>
    <mergeCell ref="A51:E51"/>
    <mergeCell ref="A53:H53"/>
    <mergeCell ref="A54:H54"/>
    <mergeCell ref="A55:G55"/>
    <mergeCell ref="A41:E41"/>
    <mergeCell ref="A42:D42"/>
    <mergeCell ref="A43:E43"/>
    <mergeCell ref="F43:G43"/>
    <mergeCell ref="A44:E44"/>
    <mergeCell ref="F44:G44"/>
    <mergeCell ref="E47:F4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