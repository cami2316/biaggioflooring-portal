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<sst xmlns="http://schemas.openxmlformats.org/spreadsheetml/2006/main" count="68" uniqueCount="64">
  <si>
    <t>Biaggio Flooring LLC</t>
  </si>
  <si>
    <t>Invoice</t>
  </si>
  <si>
    <t>2314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</si>
  <si>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</si>
  <si>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</si>
  <si>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</si>
  <si>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</si>
  <si>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</si>
  <si>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</si>
  <si>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</si>
  <si>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troy004</t>
  </si>
  <si>
    <t>Customer Information</t>
  </si>
  <si>
    <t>Name:</t>
  </si>
  <si>
    <t>TROY</t>
  </si>
  <si>
    <t>Phone:</t>
  </si>
  <si>
    <t>Address:</t>
  </si>
  <si>
    <t>5630 Brookline</t>
  </si>
  <si>
    <t>Cell:</t>
  </si>
  <si>
    <t>City, St. Zip:</t>
  </si>
  <si>
    <t>Orlando Fl</t>
  </si>
  <si>
    <t>Email:</t>
  </si>
  <si>
    <t>Description Labor only</t>
  </si>
  <si>
    <t>Qty</t>
  </si>
  <si>
    <t>Price</t>
  </si>
  <si>
    <t>Amount</t>
  </si>
  <si>
    <t>basic installation ceramic tile floor ( 12X24) Portico Lanai</t>
  </si>
  <si>
    <t>basic installation ceramic tile floor ( 11X23) oyer, powder bath, great room, kitchen kitchen nook pantry laundry hall to the kids room</t>
  </si>
  <si>
    <t>Cooper</t>
  </si>
  <si>
    <t>basic installation ceramic tile floor (8X47) bedroom closet bathroom floor</t>
  </si>
  <si>
    <t xml:space="preserve">walls ( 4X12) </t>
  </si>
  <si>
    <t xml:space="preserve">add work around  windows </t>
  </si>
  <si>
    <t>niche( only installing niche $75) ( framing and installing 150</t>
  </si>
  <si>
    <t>Showerfloor( mortar bed , installing)  11X10 hemingbone</t>
  </si>
  <si>
    <t>mosaic band   accent strip)</t>
  </si>
  <si>
    <t xml:space="preserve">Girls </t>
  </si>
  <si>
    <t>basic installation ceramic tile floor (8X47) bedroom closet</t>
  </si>
  <si>
    <t>basic installation ceramic tile floor (12X24) bathroom</t>
  </si>
  <si>
    <t>showerfloor( mortar bed , installing)  (2x2)</t>
  </si>
  <si>
    <t>walls girls bathroons wall (4X16)</t>
  </si>
  <si>
    <t>Master</t>
  </si>
  <si>
    <t xml:space="preserve">basic installation ceramic tile floor (8X47) bedroom </t>
  </si>
  <si>
    <t>s bathroons wall (12X24)</t>
  </si>
  <si>
    <t>bench</t>
  </si>
  <si>
    <t>work around window</t>
  </si>
  <si>
    <t>wall at vanity  ???????????</t>
  </si>
  <si>
    <t>Backsplash ?????????????</t>
  </si>
  <si>
    <t>fireplace  (12X24)</t>
  </si>
  <si>
    <t>office</t>
  </si>
  <si>
    <t>office floor closet (8x47)</t>
  </si>
  <si>
    <t>bathroom floors (8X47)</t>
  </si>
  <si>
    <t>shower floor</t>
  </si>
  <si>
    <t xml:space="preserve">shower walls </t>
  </si>
  <si>
    <t>stepd</t>
  </si>
  <si>
    <t>cement board  walls (30 sheets) to be adjust</t>
  </si>
  <si>
    <t>grinder  @60/ hour self level 30/ bag</t>
  </si>
  <si>
    <t>grinder  @60/ hour self level 30/ bag week 04/02 to 04/07 25 hours 9 min</t>
  </si>
  <si>
    <t>Subtotal</t>
  </si>
  <si>
    <t>paid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</si>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</sst>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8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  <sz val="12.0"/>
    </font>
  </fonts>
  <fills count="4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shrinkToFit="0" wrapText="1"/>
    </xf>
    <xf borderId="10" fillId="0" fontId="7" numFmtId="0" xfId="0" applyAlignment="1" applyBorder="1" applyFont="1">
      <alignment readingOrder="0" shrinkToFit="0" wrapText="1"/>
    </xf>
    <xf borderId="2" fillId="0" fontId="7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readingOrder="0" shrinkToFit="0" wrapText="1"/>
    </xf>
    <xf borderId="10" fillId="3" fontId="7" numFmtId="0" xfId="0" applyAlignment="1" applyBorder="1" applyFill="1" applyFont="1">
      <alignment readingOrder="0" shrinkToFit="0" wrapText="1"/>
    </xf>
    <xf borderId="2" fillId="3" fontId="7" numFmtId="0" xfId="0" applyAlignment="1" applyBorder="1" applyFont="1">
      <alignment readingOrder="0" shrinkToFit="0" wrapText="1"/>
    </xf>
    <xf borderId="3" fillId="3" fontId="3" numFmtId="0" xfId="0" applyAlignment="1" applyBorder="1" applyFont="1">
      <alignment shrinkToFit="0" wrapText="1"/>
    </xf>
    <xf borderId="11" fillId="3" fontId="3" numFmtId="0" xfId="0" applyAlignment="1" applyBorder="1" applyFont="1">
      <alignment readingOrder="0" shrinkToFit="0" wrapText="1"/>
    </xf>
    <xf borderId="4" fillId="0" fontId="3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43902.0</v>
      </c>
    </row>
    <row r="3">
      <c r="A3" s="3" t="s">
        <v>4</v>
      </c>
      <c r="F3" s="4" t="s">
        <v>5</v>
      </c>
      <c r="H3" s="3">
        <v>2008.0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 t="s">
        <v>19</v>
      </c>
      <c r="C12" s="7"/>
      <c r="D12" s="7"/>
      <c r="E12" s="7"/>
      <c r="F12" s="23" t="s">
        <v>20</v>
      </c>
      <c r="G12" s="7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21</v>
      </c>
      <c r="B14" s="9"/>
      <c r="C14" s="9"/>
      <c r="D14" s="9"/>
      <c r="E14" s="9"/>
      <c r="F14" s="26" t="s">
        <v>22</v>
      </c>
      <c r="G14" s="26" t="s">
        <v>23</v>
      </c>
      <c r="H14" s="26" t="s">
        <v>24</v>
      </c>
      <c r="I14" s="11"/>
    </row>
    <row r="15" ht="15.0" customHeight="1">
      <c r="A15" s="27" t="s">
        <v>25</v>
      </c>
      <c r="E15" s="20"/>
      <c r="F15" s="28">
        <v>641.0</v>
      </c>
      <c r="G15" s="28">
        <v>2.8</v>
      </c>
      <c r="H15" s="29">
        <f t="shared" ref="H15:H16" si="1">G15*F15</f>
        <v>1794.8</v>
      </c>
      <c r="I15" s="11"/>
    </row>
    <row r="16" ht="15.0" customHeight="1">
      <c r="A16" s="27" t="s">
        <v>26</v>
      </c>
      <c r="E16" s="20"/>
      <c r="F16" s="28">
        <v>1174.0</v>
      </c>
      <c r="G16" s="28">
        <v>2.8</v>
      </c>
      <c r="H16" s="28">
        <f t="shared" si="1"/>
        <v>3287.2</v>
      </c>
      <c r="I16" s="11"/>
    </row>
    <row r="17" ht="15.0" customHeight="1">
      <c r="A17" s="27" t="s">
        <v>27</v>
      </c>
      <c r="E17" s="20"/>
      <c r="F17" s="28"/>
      <c r="G17" s="28"/>
      <c r="H17" s="28"/>
      <c r="I17" s="11"/>
    </row>
    <row r="18" ht="15.0" customHeight="1">
      <c r="A18" s="27" t="s">
        <v>28</v>
      </c>
      <c r="E18" s="20"/>
      <c r="F18" s="28">
        <v>278.0</v>
      </c>
      <c r="G18" s="28">
        <v>2.8</v>
      </c>
      <c r="H18" s="28">
        <f>F18*G18</f>
        <v>778.4</v>
      </c>
      <c r="I18" s="11"/>
    </row>
    <row r="19" ht="15.0" customHeight="1">
      <c r="A19" s="27" t="s">
        <v>29</v>
      </c>
      <c r="E19" s="20"/>
      <c r="F19" s="28">
        <v>88.0</v>
      </c>
      <c r="G19" s="28">
        <v>8.5</v>
      </c>
      <c r="H19" s="28">
        <f t="shared" ref="H19:H22" si="2">G19*F19</f>
        <v>748</v>
      </c>
      <c r="I19" s="11"/>
    </row>
    <row r="20" ht="15.0" customHeight="1">
      <c r="A20" s="27" t="s">
        <v>30</v>
      </c>
      <c r="E20" s="20"/>
      <c r="F20" s="28">
        <v>0.0</v>
      </c>
      <c r="G20" s="28">
        <v>75.0</v>
      </c>
      <c r="H20" s="29">
        <f t="shared" si="2"/>
        <v>0</v>
      </c>
      <c r="I20" s="11"/>
    </row>
    <row r="21" ht="15.0" customHeight="1">
      <c r="A21" s="27" t="s">
        <v>31</v>
      </c>
      <c r="E21" s="20"/>
      <c r="F21" s="28">
        <v>4.0</v>
      </c>
      <c r="G21" s="28">
        <v>75.0</v>
      </c>
      <c r="H21" s="28">
        <f t="shared" si="2"/>
        <v>300</v>
      </c>
      <c r="I21" s="11"/>
    </row>
    <row r="22" ht="15.0" customHeight="1">
      <c r="A22" s="27" t="s">
        <v>32</v>
      </c>
      <c r="E22" s="20"/>
      <c r="F22" s="28">
        <v>15.0</v>
      </c>
      <c r="G22" s="28">
        <v>15.0</v>
      </c>
      <c r="H22" s="28">
        <f t="shared" si="2"/>
        <v>225</v>
      </c>
      <c r="I22" s="11"/>
    </row>
    <row r="23" ht="15.0" customHeight="1">
      <c r="A23" s="27" t="s">
        <v>33</v>
      </c>
      <c r="E23" s="20"/>
      <c r="F23" s="28">
        <v>0.0</v>
      </c>
      <c r="G23" s="28">
        <v>200.0</v>
      </c>
      <c r="H23" s="28">
        <v>200.0</v>
      </c>
      <c r="I23" s="11"/>
    </row>
    <row r="24" ht="15.0" customHeight="1">
      <c r="A24" s="27" t="s">
        <v>34</v>
      </c>
      <c r="E24" s="20"/>
      <c r="F24" s="28"/>
      <c r="G24" s="28"/>
      <c r="H24" s="29"/>
      <c r="I24" s="11"/>
    </row>
    <row r="25" ht="15.0" customHeight="1">
      <c r="A25" s="27" t="s">
        <v>35</v>
      </c>
      <c r="E25" s="20"/>
      <c r="F25" s="28">
        <v>314.0</v>
      </c>
      <c r="G25" s="28">
        <v>2.8</v>
      </c>
      <c r="H25" s="29">
        <f t="shared" ref="H25:H29" si="3">G25*F25</f>
        <v>879.2</v>
      </c>
      <c r="I25" s="11"/>
    </row>
    <row r="26" ht="15.0" customHeight="1">
      <c r="A26" s="27" t="s">
        <v>36</v>
      </c>
      <c r="E26" s="20"/>
      <c r="F26" s="28">
        <v>69.0</v>
      </c>
      <c r="G26" s="28">
        <v>2.8</v>
      </c>
      <c r="H26" s="29">
        <f t="shared" si="3"/>
        <v>193.2</v>
      </c>
      <c r="I26" s="11"/>
    </row>
    <row r="27" ht="15.0" customHeight="1">
      <c r="A27" s="27" t="s">
        <v>37</v>
      </c>
      <c r="E27" s="20"/>
      <c r="F27" s="28">
        <v>12.0</v>
      </c>
      <c r="G27" s="28">
        <v>15.0</v>
      </c>
      <c r="H27" s="29">
        <f t="shared" si="3"/>
        <v>180</v>
      </c>
      <c r="I27" s="11"/>
    </row>
    <row r="28" ht="15.0" customHeight="1">
      <c r="A28" s="27" t="s">
        <v>38</v>
      </c>
      <c r="E28" s="20"/>
      <c r="F28" s="28">
        <v>80.0</v>
      </c>
      <c r="G28" s="28">
        <v>8.5</v>
      </c>
      <c r="H28" s="29">
        <f t="shared" si="3"/>
        <v>680</v>
      </c>
      <c r="I28" s="11"/>
    </row>
    <row r="29" ht="15.0" customHeight="1">
      <c r="A29" s="27" t="s">
        <v>31</v>
      </c>
      <c r="E29" s="20"/>
      <c r="F29" s="28">
        <v>3.0</v>
      </c>
      <c r="G29" s="28">
        <v>75.0</v>
      </c>
      <c r="H29" s="29">
        <f t="shared" si="3"/>
        <v>225</v>
      </c>
      <c r="I29" s="11"/>
    </row>
    <row r="30" ht="15.0" customHeight="1">
      <c r="A30" s="27" t="s">
        <v>39</v>
      </c>
      <c r="E30" s="20"/>
      <c r="F30" s="28"/>
      <c r="G30" s="28"/>
      <c r="H30" s="29"/>
      <c r="I30" s="11"/>
    </row>
    <row r="31" ht="15.0" customHeight="1">
      <c r="A31" s="27" t="s">
        <v>40</v>
      </c>
      <c r="E31" s="20"/>
      <c r="F31" s="28">
        <v>495.0</v>
      </c>
      <c r="G31" s="28">
        <v>2.8</v>
      </c>
      <c r="H31" s="29">
        <f t="shared" ref="H31:H35" si="4">G31*F31</f>
        <v>1386</v>
      </c>
      <c r="I31" s="11"/>
    </row>
    <row r="32" ht="15.0" customHeight="1">
      <c r="A32" s="27" t="s">
        <v>36</v>
      </c>
      <c r="E32" s="20"/>
      <c r="F32" s="28">
        <v>116.0</v>
      </c>
      <c r="G32" s="28">
        <v>2.8</v>
      </c>
      <c r="H32" s="29">
        <f t="shared" si="4"/>
        <v>324.8</v>
      </c>
      <c r="I32" s="11"/>
    </row>
    <row r="33" ht="15.0" customHeight="1">
      <c r="A33" s="27" t="s">
        <v>37</v>
      </c>
      <c r="E33" s="20"/>
      <c r="F33" s="28">
        <v>20.0</v>
      </c>
      <c r="G33" s="28">
        <v>15.0</v>
      </c>
      <c r="H33" s="29">
        <f t="shared" si="4"/>
        <v>300</v>
      </c>
      <c r="I33" s="11"/>
    </row>
    <row r="34" ht="15.0" customHeight="1">
      <c r="A34" s="27" t="s">
        <v>41</v>
      </c>
      <c r="E34" s="20"/>
      <c r="F34" s="28">
        <v>128.0</v>
      </c>
      <c r="G34" s="28">
        <v>8.5</v>
      </c>
      <c r="H34" s="29">
        <f t="shared" si="4"/>
        <v>1088</v>
      </c>
      <c r="I34" s="11"/>
    </row>
    <row r="35" ht="15.0" customHeight="1">
      <c r="A35" s="27" t="s">
        <v>31</v>
      </c>
      <c r="E35" s="20"/>
      <c r="F35" s="28">
        <v>1.0</v>
      </c>
      <c r="G35" s="28">
        <v>75.0</v>
      </c>
      <c r="H35" s="29">
        <f t="shared" si="4"/>
        <v>75</v>
      </c>
      <c r="I35" s="11"/>
    </row>
    <row r="36" ht="15.0" customHeight="1">
      <c r="A36" s="27" t="s">
        <v>42</v>
      </c>
      <c r="E36" s="20"/>
      <c r="F36" s="28">
        <v>1.0</v>
      </c>
      <c r="G36" s="28">
        <v>100.0</v>
      </c>
      <c r="H36" s="28">
        <v>100.0</v>
      </c>
      <c r="I36" s="11"/>
    </row>
    <row r="37" ht="15.0" customHeight="1">
      <c r="A37" s="27" t="s">
        <v>43</v>
      </c>
      <c r="E37" s="20"/>
      <c r="F37" s="28">
        <v>1.0</v>
      </c>
      <c r="G37" s="28">
        <v>75.0</v>
      </c>
      <c r="H37" s="28">
        <v>75.0</v>
      </c>
      <c r="I37" s="11"/>
    </row>
    <row r="38" ht="15.0" customHeight="1">
      <c r="A38" s="27" t="s">
        <v>44</v>
      </c>
      <c r="E38" s="20"/>
      <c r="F38" s="28"/>
      <c r="G38" s="28"/>
      <c r="H38" s="29"/>
      <c r="I38" s="11"/>
    </row>
    <row r="39" ht="15.0" customHeight="1">
      <c r="A39" s="27" t="s">
        <v>45</v>
      </c>
      <c r="E39" s="20"/>
      <c r="F39" s="28"/>
      <c r="G39" s="28"/>
      <c r="H39" s="29"/>
      <c r="I39" s="11"/>
    </row>
    <row r="40" ht="15.0" customHeight="1">
      <c r="A40" s="27" t="s">
        <v>46</v>
      </c>
      <c r="E40" s="20"/>
      <c r="F40" s="28">
        <v>175.0</v>
      </c>
      <c r="G40" s="28">
        <v>8.5</v>
      </c>
      <c r="H40" s="29">
        <f t="shared" ref="H40:H48" si="5">G40*F40</f>
        <v>1487.5</v>
      </c>
      <c r="I40" s="11"/>
    </row>
    <row r="41" ht="15.0" customHeight="1">
      <c r="A41" s="27" t="s">
        <v>47</v>
      </c>
      <c r="E41" s="20"/>
      <c r="F41" s="28"/>
      <c r="G41" s="28"/>
      <c r="H41" s="29">
        <f t="shared" si="5"/>
        <v>0</v>
      </c>
      <c r="I41" s="11"/>
    </row>
    <row r="42" ht="15.0" customHeight="1">
      <c r="A42" s="27" t="s">
        <v>48</v>
      </c>
      <c r="E42" s="20"/>
      <c r="F42" s="28">
        <v>251.0</v>
      </c>
      <c r="G42" s="28">
        <v>2.8</v>
      </c>
      <c r="H42" s="29">
        <f t="shared" si="5"/>
        <v>702.8</v>
      </c>
      <c r="I42" s="11"/>
    </row>
    <row r="43" ht="15.0" customHeight="1">
      <c r="A43" s="27" t="s">
        <v>49</v>
      </c>
      <c r="E43" s="20"/>
      <c r="F43" s="28">
        <v>48.0</v>
      </c>
      <c r="G43" s="28">
        <v>2.8</v>
      </c>
      <c r="H43" s="29">
        <f t="shared" si="5"/>
        <v>134.4</v>
      </c>
      <c r="I43" s="11"/>
    </row>
    <row r="44" ht="15.0" customHeight="1">
      <c r="A44" s="27" t="s">
        <v>50</v>
      </c>
      <c r="E44" s="20"/>
      <c r="F44" s="28">
        <v>15.0</v>
      </c>
      <c r="G44" s="28">
        <v>15.0</v>
      </c>
      <c r="H44" s="29">
        <f t="shared" si="5"/>
        <v>225</v>
      </c>
      <c r="I44" s="11"/>
    </row>
    <row r="45" ht="15.0" customHeight="1">
      <c r="A45" s="27" t="s">
        <v>51</v>
      </c>
      <c r="E45" s="20"/>
      <c r="F45" s="28">
        <v>88.0</v>
      </c>
      <c r="G45" s="28">
        <v>8.5</v>
      </c>
      <c r="H45" s="29">
        <f t="shared" si="5"/>
        <v>748</v>
      </c>
      <c r="I45" s="11"/>
    </row>
    <row r="46" ht="15.0" customHeight="1">
      <c r="A46" s="27" t="s">
        <v>52</v>
      </c>
      <c r="E46" s="20"/>
      <c r="F46" s="28">
        <v>4.0</v>
      </c>
      <c r="G46" s="28">
        <v>30.0</v>
      </c>
      <c r="H46" s="29">
        <f t="shared" si="5"/>
        <v>120</v>
      </c>
      <c r="I46" s="11"/>
    </row>
    <row r="47" ht="15.0" customHeight="1">
      <c r="A47" s="27" t="s">
        <v>53</v>
      </c>
      <c r="E47" s="20"/>
      <c r="F47" s="28">
        <v>450.0</v>
      </c>
      <c r="G47" s="28">
        <v>2.0</v>
      </c>
      <c r="H47" s="29">
        <f t="shared" si="5"/>
        <v>900</v>
      </c>
      <c r="I47" s="11"/>
    </row>
    <row r="48" ht="15.0" customHeight="1">
      <c r="A48" s="27" t="s">
        <v>54</v>
      </c>
      <c r="E48" s="20"/>
      <c r="F48" s="28"/>
      <c r="G48" s="28"/>
      <c r="H48" s="29">
        <f t="shared" si="5"/>
        <v>0</v>
      </c>
      <c r="I48" s="11"/>
    </row>
    <row r="49" ht="15.0" customHeight="1">
      <c r="A49" s="27" t="s">
        <v>55</v>
      </c>
      <c r="E49" s="20"/>
      <c r="F49" s="30">
        <v>25.0</v>
      </c>
      <c r="G49" s="30">
        <v>60.0</v>
      </c>
      <c r="H49" s="29" t="str">
        <f>G</f>
        <v>#NAME?</v>
      </c>
      <c r="I49" s="11"/>
    </row>
    <row r="50" ht="15.0" customHeight="1">
      <c r="A50" s="27"/>
      <c r="D50" s="20"/>
      <c r="E50" s="28"/>
      <c r="F50" s="30"/>
      <c r="G50" s="30"/>
      <c r="H50" s="29"/>
      <c r="I50" s="11"/>
    </row>
    <row r="51" ht="15.0" customHeight="1">
      <c r="A51" s="11"/>
      <c r="E51" s="20"/>
      <c r="F51" s="31" t="s">
        <v>56</v>
      </c>
      <c r="G51" s="10"/>
      <c r="H51" s="29">
        <f>SUM(H15:H48)</f>
        <v>17157.3</v>
      </c>
      <c r="I51" s="11"/>
    </row>
    <row r="52" ht="15.0" customHeight="1">
      <c r="A52" s="32"/>
      <c r="B52" s="7"/>
      <c r="C52" s="7"/>
      <c r="D52" s="7"/>
      <c r="E52" s="24"/>
      <c r="F52" s="31"/>
      <c r="G52" s="10"/>
      <c r="H52" s="33"/>
      <c r="I52" s="11"/>
    </row>
    <row r="53">
      <c r="D53" s="20"/>
      <c r="E53" s="34" t="s">
        <v>57</v>
      </c>
      <c r="F53" s="35"/>
      <c r="G53" s="9"/>
      <c r="H53" s="36">
        <v>10000.0</v>
      </c>
      <c r="I53" s="11"/>
    </row>
    <row r="54">
      <c r="D54" s="20"/>
      <c r="E54" s="37"/>
      <c r="F54" s="38"/>
      <c r="G54" s="39"/>
      <c r="H54" s="40"/>
      <c r="I54" s="11"/>
    </row>
    <row r="55">
      <c r="A55" s="14"/>
      <c r="B55" s="14"/>
      <c r="C55" s="14"/>
      <c r="D55" s="16"/>
      <c r="E55" s="35" t="s">
        <v>58</v>
      </c>
      <c r="F55" s="9"/>
      <c r="G55" s="9"/>
      <c r="H55" s="41">
        <f>H51-H53</f>
        <v>7157.3</v>
      </c>
      <c r="I55" s="11"/>
    </row>
    <row r="56">
      <c r="E56" s="14"/>
      <c r="F56" s="14"/>
      <c r="G56" s="14"/>
      <c r="H56" s="14"/>
    </row>
    <row r="57">
      <c r="A57" s="3" t="s">
        <v>59</v>
      </c>
    </row>
    <row r="58">
      <c r="A58" s="3" t="s">
        <v>60</v>
      </c>
    </row>
    <row r="59">
      <c r="A59" s="3" t="s">
        <v>61</v>
      </c>
    </row>
    <row r="61">
      <c r="A61" s="42" t="s">
        <v>62</v>
      </c>
    </row>
    <row r="62">
      <c r="A62" s="43" t="s">
        <v>63</v>
      </c>
    </row>
    <row r="63">
      <c r="A63" s="44"/>
    </row>
  </sheetData>
  <mergeCells count="63">
    <mergeCell ref="A41:E41"/>
    <mergeCell ref="A42:E42"/>
    <mergeCell ref="A43:E43"/>
    <mergeCell ref="A44:E44"/>
    <mergeCell ref="A45:E45"/>
    <mergeCell ref="A46:E46"/>
    <mergeCell ref="A47:E47"/>
    <mergeCell ref="A48:E48"/>
    <mergeCell ref="A49:E49"/>
    <mergeCell ref="A50:D50"/>
    <mergeCell ref="A51:E51"/>
    <mergeCell ref="F51:G51"/>
    <mergeCell ref="A52:E52"/>
    <mergeCell ref="F52:G52"/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E55:F55"/>
    <mergeCell ref="A57:E57"/>
    <mergeCell ref="A58:E58"/>
    <mergeCell ref="A59:E59"/>
    <mergeCell ref="A61:H61"/>
    <mergeCell ref="A62:H62"/>
    <mergeCell ref="A63:G63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