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<sst xmlns="http://schemas.openxmlformats.org/spreadsheetml/2006/main" count="47" uniqueCount="47">
  <si>
    <t>Biaggio Flooring LLC</t>
  </si>
  <si>
    <t xml:space="preserve">invoice 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</si>
  <si>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</si>
  <si>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</si>
  <si>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</si>
  <si>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</si>
  <si>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</si>
  <si>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</si>
  <si>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</si>
  <si>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</si>
  <si>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susan</t>
  </si>
  <si>
    <t>Customer Information</t>
  </si>
  <si>
    <t>Name:</t>
  </si>
  <si>
    <t>Susan hooper</t>
  </si>
  <si>
    <t>Phone:</t>
  </si>
  <si>
    <t>Address:</t>
  </si>
  <si>
    <t>lake house</t>
  </si>
  <si>
    <t>Cell:</t>
  </si>
  <si>
    <t>City, St. Zip:</t>
  </si>
  <si>
    <t>mount dora</t>
  </si>
  <si>
    <t>Email:</t>
  </si>
  <si>
    <r>
      <t xml:space="preserve">Description </t>
    </r>
    <r>
      <rPr>
        <b/>
        <sz val="12.0"/>
      </rPr>
      <t>(labor only)</t>
    </r>
  </si>
  <si>
    <t>Qty</t>
  </si>
  <si>
    <t>Price</t>
  </si>
  <si>
    <t>Amount</t>
  </si>
  <si>
    <t>,demo shower) demo disposal  NOT INCLUDED</t>
  </si>
  <si>
    <t>basic installation on wall tile rectified( large formate)( small tile the price will go down)</t>
  </si>
  <si>
    <t>cement board. per sqf(with water proof)</t>
  </si>
  <si>
    <t xml:space="preserve">shower install </t>
  </si>
  <si>
    <t>curb ( walking shower  add $400**)</t>
  </si>
  <si>
    <t>niche ( frame and install)</t>
  </si>
  <si>
    <t xml:space="preserve">sink  demo install and backsplash </t>
  </si>
  <si>
    <t>bathroom floor demo and install</t>
  </si>
  <si>
    <t>closet  demo and install</t>
  </si>
  <si>
    <t>drywall if needed  $2.50/ sqft plain( no paint and no texture)</t>
  </si>
  <si>
    <t xml:space="preserve">floor prep price( self leveling  30 per bag  application) if necessary </t>
  </si>
  <si>
    <t xml:space="preserve">floor prep price grinder  60/ hour/ if necessary </t>
  </si>
  <si>
    <t>other job to be charge hourly $60.00 /hour</t>
  </si>
  <si>
    <t>Subtotal</t>
  </si>
  <si>
    <t xml:space="preserve">zelle account: rafaelbiaggio@gmail.com </t>
  </si>
  <si>
    <t>please pay</t>
  </si>
  <si>
    <t>remaining  balance</t>
  </si>
  <si>
    <t>Terms: 50% due to first day of the job 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</si>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</sst>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0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i/>
      <sz val="12.0"/>
    </font>
    <font>
      <b/>
      <sz val="16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14" fillId="3" fontId="3" numFmtId="0" xfId="0" applyAlignment="1" applyBorder="1" applyFill="1" applyFont="1">
      <alignment shrinkToFit="0" wrapText="1"/>
    </xf>
    <xf borderId="5" fillId="0" fontId="6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7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5" fillId="0" fontId="8" numFmtId="0" xfId="0" applyAlignment="1" applyBorder="1" applyFont="1">
      <alignment readingOrder="0" shrinkToFit="0" wrapText="1"/>
    </xf>
    <xf borderId="2" fillId="3" fontId="9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44897.0</v>
      </c>
    </row>
    <row r="3">
      <c r="A3" s="3" t="s">
        <v>4</v>
      </c>
      <c r="F3" s="4" t="s">
        <v>5</v>
      </c>
      <c r="H3" s="3">
        <v>2212.0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3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B15" s="14"/>
      <c r="C15" s="14"/>
      <c r="D15" s="14"/>
      <c r="E15" s="16"/>
      <c r="F15" s="28">
        <v>1.0</v>
      </c>
      <c r="G15" s="28">
        <v>1.0</v>
      </c>
      <c r="H15" s="29">
        <f>500</f>
        <v>500</v>
      </c>
      <c r="I15" s="11"/>
    </row>
    <row r="16" ht="15.0" customHeight="1">
      <c r="A16" s="30" t="s">
        <v>26</v>
      </c>
      <c r="E16" s="20"/>
      <c r="F16" s="31">
        <v>98.0</v>
      </c>
      <c r="G16" s="31">
        <v>16.0</v>
      </c>
      <c r="H16" s="31">
        <f>F16*G16</f>
        <v>1568</v>
      </c>
      <c r="I16" s="11"/>
    </row>
    <row r="17" ht="15.0" customHeight="1">
      <c r="A17" s="30" t="s">
        <v>27</v>
      </c>
      <c r="E17" s="20"/>
      <c r="F17" s="31">
        <v>98.0</v>
      </c>
      <c r="G17" s="31">
        <v>2.5</v>
      </c>
      <c r="H17" s="32">
        <f t="shared" ref="H17:H18" si="1">G17*F17</f>
        <v>245</v>
      </c>
      <c r="I17" s="11"/>
    </row>
    <row r="18" ht="15.0" customHeight="1">
      <c r="A18" s="30" t="s">
        <v>28</v>
      </c>
      <c r="E18" s="20"/>
      <c r="F18" s="31">
        <v>18.0</v>
      </c>
      <c r="G18" s="31">
        <v>23.0</v>
      </c>
      <c r="H18" s="31">
        <f t="shared" si="1"/>
        <v>414</v>
      </c>
      <c r="I18" s="11"/>
    </row>
    <row r="19" ht="15.0" customHeight="1">
      <c r="A19" s="30" t="s">
        <v>29</v>
      </c>
      <c r="E19" s="20"/>
      <c r="F19" s="31">
        <v>1.0</v>
      </c>
      <c r="G19" s="31">
        <v>100.0</v>
      </c>
      <c r="H19" s="31">
        <v>100.0</v>
      </c>
      <c r="I19" s="11"/>
    </row>
    <row r="20" ht="15.0" customHeight="1">
      <c r="A20" s="30" t="s">
        <v>30</v>
      </c>
      <c r="E20" s="20"/>
      <c r="F20" s="31">
        <v>1.0</v>
      </c>
      <c r="G20" s="31">
        <v>400.0</v>
      </c>
      <c r="H20" s="31">
        <v>400.0</v>
      </c>
      <c r="I20" s="11"/>
    </row>
    <row r="21" ht="15.0" customHeight="1">
      <c r="A21" s="30" t="s">
        <v>31</v>
      </c>
      <c r="E21" s="20"/>
      <c r="F21" s="31">
        <v>1.0</v>
      </c>
      <c r="G21" s="31">
        <v>570.0</v>
      </c>
      <c r="H21" s="31">
        <v>570.0</v>
      </c>
      <c r="I21" s="11"/>
    </row>
    <row r="22" ht="15.0" customHeight="1">
      <c r="A22" s="30" t="s">
        <v>32</v>
      </c>
      <c r="E22" s="20"/>
      <c r="F22" s="31">
        <v>1.0</v>
      </c>
      <c r="G22" s="31">
        <v>750.0</v>
      </c>
      <c r="H22" s="31">
        <v>750.0</v>
      </c>
      <c r="I22" s="11"/>
    </row>
    <row r="23" ht="15.0" customHeight="1">
      <c r="A23" s="30" t="s">
        <v>33</v>
      </c>
      <c r="E23" s="20"/>
      <c r="F23" s="31">
        <v>1.0</v>
      </c>
      <c r="G23" s="31">
        <v>170.0</v>
      </c>
      <c r="H23" s="31">
        <v>170.0</v>
      </c>
      <c r="I23" s="11"/>
    </row>
    <row r="24" ht="15.0" customHeight="1">
      <c r="A24" s="30" t="s">
        <v>34</v>
      </c>
      <c r="E24" s="20"/>
      <c r="F24" s="31"/>
      <c r="G24" s="31"/>
      <c r="H24" s="32"/>
      <c r="I24" s="11"/>
    </row>
    <row r="25" ht="15.0" customHeight="1">
      <c r="A25" s="30" t="s">
        <v>35</v>
      </c>
      <c r="E25" s="20"/>
      <c r="F25" s="31"/>
      <c r="G25" s="31"/>
      <c r="H25" s="32"/>
      <c r="I25" s="11"/>
    </row>
    <row r="26" ht="15.0" customHeight="1">
      <c r="A26" s="30"/>
      <c r="E26" s="20"/>
      <c r="F26" s="33"/>
      <c r="G26" s="33"/>
      <c r="H26" s="34"/>
      <c r="I26" s="11"/>
    </row>
    <row r="27" ht="15.0" customHeight="1">
      <c r="A27" s="30" t="s">
        <v>36</v>
      </c>
      <c r="E27" s="20"/>
      <c r="F27" s="33"/>
      <c r="G27" s="33"/>
      <c r="H27" s="34"/>
      <c r="I27" s="11"/>
    </row>
    <row r="28" ht="15.0" customHeight="1">
      <c r="A28" s="35" t="s">
        <v>37</v>
      </c>
      <c r="E28" s="20"/>
      <c r="F28" s="36" t="s">
        <v>38</v>
      </c>
      <c r="G28" s="10"/>
      <c r="H28" s="34">
        <f>SUM(H15:H27)</f>
        <v>4717</v>
      </c>
      <c r="I28" s="11"/>
    </row>
    <row r="29" ht="15.0" customHeight="1">
      <c r="A29" s="37" t="s">
        <v>39</v>
      </c>
      <c r="B29" s="7"/>
      <c r="C29" s="7"/>
      <c r="D29" s="7"/>
      <c r="E29" s="24"/>
      <c r="F29" s="38" t="s">
        <v>40</v>
      </c>
      <c r="G29" s="10"/>
      <c r="H29" s="39">
        <v>2358.0</v>
      </c>
      <c r="I29" s="11"/>
    </row>
    <row r="30">
      <c r="A30" s="14"/>
      <c r="B30" s="14"/>
      <c r="C30" s="14"/>
      <c r="D30" s="16"/>
      <c r="E30" s="40" t="s">
        <v>41</v>
      </c>
      <c r="F30" s="9"/>
      <c r="G30" s="41"/>
      <c r="H30" s="42">
        <f>H28-H29</f>
        <v>2359</v>
      </c>
      <c r="I30" s="11"/>
    </row>
    <row r="31">
      <c r="E31" s="14"/>
      <c r="F31" s="14"/>
      <c r="G31" s="14"/>
      <c r="H31" s="14"/>
    </row>
    <row r="32">
      <c r="A32" s="3" t="s">
        <v>42</v>
      </c>
    </row>
    <row r="33">
      <c r="A33" s="3" t="s">
        <v>43</v>
      </c>
    </row>
    <row r="34">
      <c r="A34" s="3" t="s">
        <v>44</v>
      </c>
    </row>
    <row r="36">
      <c r="A36" s="43" t="s">
        <v>45</v>
      </c>
    </row>
    <row r="37">
      <c r="A37" s="44" t="s">
        <v>46</v>
      </c>
    </row>
    <row r="38">
      <c r="A38" s="45"/>
    </row>
  </sheetData>
  <mergeCells count="4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33:E33"/>
    <mergeCell ref="A34:E34"/>
    <mergeCell ref="A36:H36"/>
    <mergeCell ref="A37:H37"/>
    <mergeCell ref="A38:G38"/>
    <mergeCell ref="A27:E27"/>
    <mergeCell ref="A28:E28"/>
    <mergeCell ref="F28:G28"/>
    <mergeCell ref="A29:E29"/>
    <mergeCell ref="F29:G29"/>
    <mergeCell ref="E30:F30"/>
    <mergeCell ref="A32:E32"/>
  </mergeCells>
  <drawing r:id="rId1"/>
</worksheet>
</file>