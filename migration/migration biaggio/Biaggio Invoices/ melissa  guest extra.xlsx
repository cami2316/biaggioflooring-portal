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<sst xmlns="http://schemas.openxmlformats.org/spreadsheetml/2006/main" count="37" uniqueCount="37">
  <si>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</si>
  <si>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</si>
  <si>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</si>
  <si>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</si>
  <si>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</si>
  <si>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</si>
  <si>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</si>
  <si>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</si>
  <si>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</si>
  <si>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</si>
  <si>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melissa 03</t>
  </si>
  <si>
    <t>Customer Information</t>
  </si>
  <si>
    <t>Name:</t>
  </si>
  <si>
    <t>Melissa Mason</t>
  </si>
  <si>
    <t>Phone:</t>
  </si>
  <si>
    <t>Address:</t>
  </si>
  <si>
    <t>2637 Bent Hickory circle</t>
  </si>
  <si>
    <t>Cell:</t>
  </si>
  <si>
    <t>City, St. Zip:</t>
  </si>
  <si>
    <t>longwood, Fl 32779</t>
  </si>
  <si>
    <t>Email:</t>
  </si>
  <si>
    <t>Description ( labor only)</t>
  </si>
  <si>
    <t>Qty</t>
  </si>
  <si>
    <t>Price</t>
  </si>
  <si>
    <t>Amount</t>
  </si>
  <si>
    <t xml:space="preserve">tile baseboard  price per linear foot ( $3.50) </t>
  </si>
  <si>
    <t>window master</t>
  </si>
  <si>
    <t>fireplace and front porch  repair</t>
  </si>
  <si>
    <t>home depot 1</t>
  </si>
  <si>
    <t>lowes</t>
  </si>
  <si>
    <t>total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</si>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</sst>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44664.0</v>
      </c>
    </row>
    <row r="3">
      <c r="A3" s="3" t="s">
        <v>4</v>
      </c>
      <c r="F3" s="4" t="s">
        <v>5</v>
      </c>
      <c r="H3" s="3">
        <v>2244.0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20.25" customHeight="1">
      <c r="A15" s="27" t="s">
        <v>25</v>
      </c>
      <c r="B15" s="7"/>
      <c r="C15" s="7"/>
      <c r="D15" s="7"/>
      <c r="E15" s="24"/>
      <c r="F15" s="28">
        <v>93.0</v>
      </c>
      <c r="G15" s="28">
        <v>3.5</v>
      </c>
      <c r="H15" s="28">
        <f t="shared" ref="H15:H17" si="1">G15*F15</f>
        <v>325.5</v>
      </c>
      <c r="I15" s="11"/>
    </row>
    <row r="16" ht="15.0" customHeight="1">
      <c r="A16" s="29" t="s">
        <v>26</v>
      </c>
      <c r="E16" s="20"/>
      <c r="F16" s="30">
        <v>1.0</v>
      </c>
      <c r="G16" s="30">
        <v>100.0</v>
      </c>
      <c r="H16" s="30">
        <f t="shared" si="1"/>
        <v>100</v>
      </c>
      <c r="I16" s="11"/>
    </row>
    <row r="17" ht="18.75" customHeight="1">
      <c r="A17" s="29" t="s">
        <v>27</v>
      </c>
      <c r="E17" s="20"/>
      <c r="F17" s="30">
        <v>1.0</v>
      </c>
      <c r="G17" s="30">
        <v>250.0</v>
      </c>
      <c r="H17" s="30">
        <f t="shared" si="1"/>
        <v>250</v>
      </c>
      <c r="I17" s="11"/>
    </row>
    <row r="18" ht="15.0" customHeight="1">
      <c r="A18" s="27" t="s">
        <v>28</v>
      </c>
      <c r="B18" s="7"/>
      <c r="C18" s="7"/>
      <c r="D18" s="7"/>
      <c r="E18" s="24"/>
      <c r="F18" s="30">
        <v>1.0</v>
      </c>
      <c r="G18" s="30">
        <v>39.0</v>
      </c>
      <c r="H18" s="30">
        <v>39.0</v>
      </c>
      <c r="I18" s="11"/>
    </row>
    <row r="19" ht="15.0" customHeight="1">
      <c r="A19" s="27" t="s">
        <v>29</v>
      </c>
      <c r="B19" s="7"/>
      <c r="C19" s="7"/>
      <c r="D19" s="7"/>
      <c r="E19" s="24"/>
      <c r="F19" s="30">
        <v>1.0</v>
      </c>
      <c r="G19" s="30">
        <v>40.62</v>
      </c>
      <c r="H19" s="30">
        <v>40.62</v>
      </c>
      <c r="I19" s="11"/>
    </row>
    <row r="20" ht="15.0" customHeight="1">
      <c r="A20" s="27"/>
      <c r="B20" s="7"/>
      <c r="C20" s="7"/>
      <c r="D20" s="7"/>
      <c r="E20" s="24"/>
      <c r="F20" s="30"/>
      <c r="G20" s="30"/>
      <c r="H20" s="30"/>
      <c r="I20" s="11"/>
    </row>
    <row r="21" ht="15.0" customHeight="1">
      <c r="A21" s="27"/>
      <c r="B21" s="7"/>
      <c r="C21" s="7"/>
      <c r="D21" s="7"/>
      <c r="E21" s="24"/>
      <c r="F21" s="31" t="s">
        <v>30</v>
      </c>
      <c r="G21" s="10"/>
      <c r="H21" s="32">
        <f>H15+H16+H17+H18+H19+H20</f>
        <v>755.12</v>
      </c>
      <c r="I21" s="11"/>
    </row>
    <row r="22">
      <c r="A22" s="14"/>
      <c r="B22" s="14"/>
      <c r="C22" s="14"/>
      <c r="D22" s="16"/>
      <c r="E22" s="33"/>
      <c r="F22" s="9"/>
      <c r="G22" s="34"/>
      <c r="H22" s="35"/>
      <c r="I22" s="11"/>
    </row>
    <row r="23">
      <c r="E23" s="36" t="s">
        <v>31</v>
      </c>
      <c r="F23" s="14"/>
      <c r="G23" s="14"/>
      <c r="H23" s="37">
        <f>H21-H22</f>
        <v>755.12</v>
      </c>
    </row>
    <row r="24">
      <c r="A24" s="3" t="s">
        <v>32</v>
      </c>
    </row>
    <row r="25">
      <c r="A25" s="3" t="s">
        <v>33</v>
      </c>
    </row>
    <row r="26">
      <c r="A26" s="3" t="s">
        <v>34</v>
      </c>
    </row>
    <row r="28">
      <c r="A28" s="38" t="s">
        <v>35</v>
      </c>
    </row>
    <row r="29">
      <c r="A29" s="39" t="s">
        <v>36</v>
      </c>
    </row>
    <row r="30">
      <c r="A30" s="40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H29"/>
    <mergeCell ref="A30:G30"/>
    <mergeCell ref="A20:E20"/>
    <mergeCell ref="A21:E21"/>
    <mergeCell ref="F21:G21"/>
    <mergeCell ref="E22:F22"/>
    <mergeCell ref="A24:E24"/>
    <mergeCell ref="A25:E25"/>
    <mergeCell ref="A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