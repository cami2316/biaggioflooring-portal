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<sst xmlns="http://schemas.openxmlformats.org/spreadsheetml/2006/main" count="75" uniqueCount="74">
  <si>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</si>
  <si>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</si>
  <si>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</si>
  <si>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</si>
  <si>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</si>
  <si>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</si>
  <si>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</si>
  <si>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</si>
  <si>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</si>
  <si>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</si>
  <si>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troy</t>
  </si>
  <si>
    <t>Customer Information</t>
  </si>
  <si>
    <t>Name:</t>
  </si>
  <si>
    <t>TROY</t>
  </si>
  <si>
    <t>Phone:</t>
  </si>
  <si>
    <t>Address:</t>
  </si>
  <si>
    <t>14119 oakwoof</t>
  </si>
  <si>
    <t>Cell:</t>
  </si>
  <si>
    <t>City, St. Zip:</t>
  </si>
  <si>
    <t>Orlando</t>
  </si>
  <si>
    <t>Email:</t>
  </si>
  <si>
    <t>Description</t>
  </si>
  <si>
    <t>Qty</t>
  </si>
  <si>
    <t>Price</t>
  </si>
  <si>
    <t>Amount</t>
  </si>
  <si>
    <t>Engineered Wood: Installation Only</t>
  </si>
  <si>
    <t>Master</t>
  </si>
  <si>
    <t>basic installation ceramic tile floor (large formate)</t>
  </si>
  <si>
    <t xml:space="preserve">showerfloor( mortar bed , installing) master </t>
  </si>
  <si>
    <t>walls (up to 24X24 ) master shower( cement board not )included</t>
  </si>
  <si>
    <t xml:space="preserve">casita </t>
  </si>
  <si>
    <t>walking shower master (adjust big l8near drain)</t>
  </si>
  <si>
    <t xml:space="preserve">niche( framing and installing240 )( only installing niche $120) </t>
  </si>
  <si>
    <t xml:space="preserve"> Bath 02</t>
  </si>
  <si>
    <t>Bath Floor  ( up to 24x24 ) Intallation Only</t>
  </si>
  <si>
    <t xml:space="preserve">walls  bathroons wall (up to 24x24) installation Only </t>
  </si>
  <si>
    <t xml:space="preserve">showerfloor( mortar bed , installing) </t>
  </si>
  <si>
    <t>curb</t>
  </si>
  <si>
    <t>niche( framing and installing )( only installing niche $120)</t>
  </si>
  <si>
    <t>bath 03</t>
  </si>
  <si>
    <t xml:space="preserve">main  floor 24X24 </t>
  </si>
  <si>
    <t>cement board</t>
  </si>
  <si>
    <t>wall</t>
  </si>
  <si>
    <t>bath 04</t>
  </si>
  <si>
    <t>floor</t>
  </si>
  <si>
    <t>grinder  @60/hour</t>
  </si>
  <si>
    <t>laundry</t>
  </si>
  <si>
    <t>cement board on laundry</t>
  </si>
  <si>
    <t>paper protection on the house</t>
  </si>
  <si>
    <t>self level clip</t>
  </si>
  <si>
    <t>ajusted prices</t>
  </si>
  <si>
    <t xml:space="preserve">wood floor added </t>
  </si>
  <si>
    <t>paper protection added wood floor</t>
  </si>
  <si>
    <t>master new wall</t>
  </si>
  <si>
    <t>1 niche master</t>
  </si>
  <si>
    <t xml:space="preserve">bench added </t>
  </si>
  <si>
    <t>windows  master  work around</t>
  </si>
  <si>
    <t>door master work around</t>
  </si>
  <si>
    <t>adjust windows frame(2)</t>
  </si>
  <si>
    <t>niche bathroom 02</t>
  </si>
  <si>
    <t>bathroom 03 niche</t>
  </si>
  <si>
    <t>cement board bathroom 04</t>
  </si>
  <si>
    <t>niche bathroom 04</t>
  </si>
  <si>
    <t>working around windows  bath 04</t>
  </si>
  <si>
    <t>paper  protection on the tile floor</t>
  </si>
  <si>
    <t>Subtotal</t>
  </si>
  <si>
    <t>paid</t>
  </si>
  <si>
    <t>paid ch 2141</t>
  </si>
  <si>
    <t>please 04/28/23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</si>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</sst>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4.0"/>
    </font>
    <font>
      <b/>
      <sz val="12.0"/>
    </font>
    <font>
      <b/>
      <sz val="20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9" numFmtId="0" xfId="0" applyAlignment="1" applyBorder="1" applyFill="1" applyFont="1">
      <alignment readingOrder="0" shrinkToFit="0" wrapText="1"/>
    </xf>
    <xf borderId="2" fillId="3" fontId="9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44963.0</v>
      </c>
    </row>
    <row r="3">
      <c r="A3" s="3" t="s">
        <v>4</v>
      </c>
      <c r="F3" s="6" t="s">
        <v>5</v>
      </c>
      <c r="H3" s="3">
        <v>2322.0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 t="s">
        <v>19</v>
      </c>
      <c r="C12" s="8"/>
      <c r="D12" s="8"/>
      <c r="E12" s="8"/>
      <c r="F12" s="24" t="s">
        <v>20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21</v>
      </c>
      <c r="B14" s="10"/>
      <c r="C14" s="10"/>
      <c r="D14" s="10"/>
      <c r="E14" s="10"/>
      <c r="F14" s="27" t="s">
        <v>22</v>
      </c>
      <c r="G14" s="27" t="s">
        <v>23</v>
      </c>
      <c r="H14" s="27" t="s">
        <v>24</v>
      </c>
      <c r="I14" s="12"/>
    </row>
    <row r="15" ht="15.0" customHeight="1">
      <c r="A15" s="28" t="s">
        <v>25</v>
      </c>
      <c r="B15" s="15"/>
      <c r="C15" s="15"/>
      <c r="D15" s="15"/>
      <c r="E15" s="17"/>
      <c r="F15" s="29">
        <v>2653.0</v>
      </c>
      <c r="G15" s="29">
        <v>2.45</v>
      </c>
      <c r="H15" s="30">
        <f>G15*F15</f>
        <v>6499.85</v>
      </c>
      <c r="I15" s="12"/>
    </row>
    <row r="16" ht="15.0" customHeight="1">
      <c r="A16" s="31" t="s">
        <v>26</v>
      </c>
      <c r="E16" s="21"/>
      <c r="F16" s="32"/>
      <c r="G16" s="32"/>
      <c r="H16" s="33"/>
      <c r="I16" s="12"/>
    </row>
    <row r="17" ht="15.0" customHeight="1">
      <c r="A17" s="31" t="s">
        <v>27</v>
      </c>
      <c r="E17" s="21"/>
      <c r="F17" s="32">
        <v>138.0</v>
      </c>
      <c r="G17" s="32">
        <v>3.8</v>
      </c>
      <c r="H17" s="33">
        <f t="shared" ref="H17:H20" si="1">G17*F17</f>
        <v>524.4</v>
      </c>
      <c r="I17" s="12"/>
    </row>
    <row r="18" ht="15.0" customHeight="1">
      <c r="A18" s="31" t="s">
        <v>28</v>
      </c>
      <c r="E18" s="21"/>
      <c r="F18" s="32">
        <v>42.0</v>
      </c>
      <c r="G18" s="32">
        <v>30.0</v>
      </c>
      <c r="H18" s="32">
        <f t="shared" si="1"/>
        <v>1260</v>
      </c>
      <c r="I18" s="12"/>
    </row>
    <row r="19" ht="15.0" customHeight="1">
      <c r="A19" s="31" t="s">
        <v>29</v>
      </c>
      <c r="E19" s="21"/>
      <c r="F19" s="32">
        <v>208.0</v>
      </c>
      <c r="G19" s="32">
        <v>12.0</v>
      </c>
      <c r="H19" s="32">
        <f t="shared" si="1"/>
        <v>2496</v>
      </c>
      <c r="I19" s="12"/>
    </row>
    <row r="20" ht="15.0" customHeight="1">
      <c r="A20" s="31" t="s">
        <v>30</v>
      </c>
      <c r="E20" s="21"/>
      <c r="F20" s="32">
        <v>153.0</v>
      </c>
      <c r="G20" s="32">
        <v>3.5</v>
      </c>
      <c r="H20" s="32">
        <f t="shared" si="1"/>
        <v>535.5</v>
      </c>
      <c r="I20" s="12"/>
    </row>
    <row r="21" ht="15.0" customHeight="1">
      <c r="A21" s="31" t="s">
        <v>31</v>
      </c>
      <c r="E21" s="21"/>
      <c r="F21" s="32">
        <v>1.0</v>
      </c>
      <c r="G21" s="32">
        <v>300.0</v>
      </c>
      <c r="H21" s="33">
        <f>F21*G21</f>
        <v>300</v>
      </c>
      <c r="I21" s="12"/>
    </row>
    <row r="22" ht="15.0" customHeight="1">
      <c r="A22" s="31" t="s">
        <v>32</v>
      </c>
      <c r="E22" s="21"/>
      <c r="F22" s="32">
        <v>0.0</v>
      </c>
      <c r="G22" s="32">
        <v>120.0</v>
      </c>
      <c r="H22" s="32">
        <f>G22*F22</f>
        <v>0</v>
      </c>
      <c r="I22" s="12"/>
    </row>
    <row r="23" ht="15.0" customHeight="1">
      <c r="A23" s="31" t="s">
        <v>33</v>
      </c>
      <c r="E23" s="21"/>
      <c r="F23" s="32"/>
      <c r="G23" s="32"/>
      <c r="H23" s="32"/>
      <c r="I23" s="12"/>
    </row>
    <row r="24" ht="15.0" customHeight="1">
      <c r="A24" s="31" t="s">
        <v>34</v>
      </c>
      <c r="E24" s="21"/>
      <c r="F24" s="32">
        <v>64.0</v>
      </c>
      <c r="G24" s="32">
        <v>3.5</v>
      </c>
      <c r="H24" s="32">
        <f t="shared" ref="H24:H26" si="2">G24*F24</f>
        <v>224</v>
      </c>
      <c r="I24" s="12"/>
    </row>
    <row r="25" ht="15.0" customHeight="1">
      <c r="A25" s="31" t="s">
        <v>35</v>
      </c>
      <c r="E25" s="21"/>
      <c r="F25" s="32">
        <v>145.0</v>
      </c>
      <c r="G25" s="32">
        <v>12.0</v>
      </c>
      <c r="H25" s="33">
        <f t="shared" si="2"/>
        <v>1740</v>
      </c>
      <c r="I25" s="12"/>
    </row>
    <row r="26" ht="15.0" customHeight="1">
      <c r="A26" s="31" t="s">
        <v>36</v>
      </c>
      <c r="E26" s="21"/>
      <c r="F26" s="32">
        <v>17.0</v>
      </c>
      <c r="G26" s="32">
        <v>30.0</v>
      </c>
      <c r="H26" s="33">
        <f t="shared" si="2"/>
        <v>510</v>
      </c>
      <c r="I26" s="12"/>
    </row>
    <row r="27" ht="15.0" customHeight="1">
      <c r="A27" s="31" t="s">
        <v>37</v>
      </c>
      <c r="E27" s="21"/>
      <c r="F27" s="32">
        <v>1.0</v>
      </c>
      <c r="G27" s="32">
        <v>1.0</v>
      </c>
      <c r="H27" s="32">
        <v>100.0</v>
      </c>
      <c r="I27" s="12"/>
    </row>
    <row r="28" ht="15.0" customHeight="1">
      <c r="A28" s="31" t="s">
        <v>38</v>
      </c>
      <c r="E28" s="21"/>
      <c r="F28" s="32">
        <v>0.0</v>
      </c>
      <c r="G28" s="32">
        <v>120.0</v>
      </c>
      <c r="H28" s="33">
        <f>G28*F28</f>
        <v>0</v>
      </c>
      <c r="I28" s="12"/>
    </row>
    <row r="29" ht="15.0" customHeight="1">
      <c r="A29" s="31" t="s">
        <v>39</v>
      </c>
      <c r="E29" s="21"/>
      <c r="F29" s="32"/>
      <c r="G29" s="32"/>
      <c r="H29" s="33"/>
      <c r="I29" s="12"/>
    </row>
    <row r="30" ht="15.0" customHeight="1">
      <c r="A30" s="31" t="s">
        <v>40</v>
      </c>
      <c r="E30" s="21"/>
      <c r="F30" s="32">
        <v>50.0</v>
      </c>
      <c r="G30" s="32">
        <v>3.5</v>
      </c>
      <c r="H30" s="33">
        <f t="shared" ref="H30:H32" si="3">G30*F30</f>
        <v>175</v>
      </c>
      <c r="I30" s="12"/>
    </row>
    <row r="31" ht="15.0" customHeight="1">
      <c r="A31" s="31" t="s">
        <v>41</v>
      </c>
      <c r="E31" s="21"/>
      <c r="F31" s="32">
        <v>50.0</v>
      </c>
      <c r="G31" s="32">
        <v>2.5</v>
      </c>
      <c r="H31" s="33">
        <f t="shared" si="3"/>
        <v>125</v>
      </c>
      <c r="I31" s="12"/>
    </row>
    <row r="32" ht="15.0" customHeight="1">
      <c r="A32" s="31" t="s">
        <v>42</v>
      </c>
      <c r="E32" s="21"/>
      <c r="F32" s="32">
        <v>85.0</v>
      </c>
      <c r="G32" s="32">
        <v>12.0</v>
      </c>
      <c r="H32" s="33">
        <f t="shared" si="3"/>
        <v>1020</v>
      </c>
      <c r="I32" s="12"/>
    </row>
    <row r="33" ht="15.0" customHeight="1">
      <c r="A33" s="31" t="s">
        <v>43</v>
      </c>
      <c r="E33" s="21"/>
      <c r="F33" s="32"/>
      <c r="G33" s="32"/>
      <c r="H33" s="32"/>
      <c r="I33" s="12"/>
    </row>
    <row r="34" ht="15.0" customHeight="1">
      <c r="A34" s="31" t="s">
        <v>44</v>
      </c>
      <c r="E34" s="21"/>
      <c r="F34" s="32">
        <v>97.0</v>
      </c>
      <c r="G34" s="32">
        <v>3.5</v>
      </c>
      <c r="H34" s="33">
        <f t="shared" ref="H34:H35" si="4">F34*G34</f>
        <v>339.5</v>
      </c>
      <c r="I34" s="12"/>
    </row>
    <row r="35" ht="15.0" customHeight="1">
      <c r="A35" s="31" t="s">
        <v>42</v>
      </c>
      <c r="E35" s="21"/>
      <c r="F35" s="32">
        <v>85.0</v>
      </c>
      <c r="G35" s="32">
        <v>12.0</v>
      </c>
      <c r="H35" s="33">
        <f t="shared" si="4"/>
        <v>1020</v>
      </c>
      <c r="I35" s="12"/>
    </row>
    <row r="36" ht="15.0" customHeight="1">
      <c r="A36" s="31" t="s">
        <v>45</v>
      </c>
      <c r="E36" s="21"/>
      <c r="F36" s="32"/>
      <c r="G36" s="32"/>
      <c r="H36" s="33"/>
      <c r="I36" s="12"/>
    </row>
    <row r="37" ht="15.0" customHeight="1">
      <c r="A37" s="34" t="s">
        <v>46</v>
      </c>
      <c r="E37" s="21"/>
      <c r="F37" s="35">
        <v>134.0</v>
      </c>
      <c r="G37" s="35">
        <v>3.5</v>
      </c>
      <c r="H37" s="21">
        <f t="shared" ref="H37:H38" si="5">G37*F37</f>
        <v>469</v>
      </c>
      <c r="I37" s="12"/>
    </row>
    <row r="38" ht="15.0" customHeight="1">
      <c r="A38" s="31" t="s">
        <v>47</v>
      </c>
      <c r="E38" s="21"/>
      <c r="F38" s="35">
        <v>134.0</v>
      </c>
      <c r="G38" s="35">
        <v>2.5</v>
      </c>
      <c r="H38" s="21">
        <f t="shared" si="5"/>
        <v>335</v>
      </c>
      <c r="I38" s="12"/>
    </row>
    <row r="39" ht="15.0" customHeight="1">
      <c r="A39" s="31"/>
      <c r="E39" s="21"/>
      <c r="F39" s="35"/>
      <c r="G39" s="35"/>
      <c r="H39" s="21"/>
      <c r="I39" s="12"/>
    </row>
    <row r="40" ht="15.0" customHeight="1">
      <c r="A40" s="31" t="s">
        <v>48</v>
      </c>
      <c r="E40" s="21"/>
      <c r="F40" s="35">
        <v>2653.0</v>
      </c>
      <c r="G40" s="35">
        <v>0.2</v>
      </c>
      <c r="H40" s="21">
        <f>G40*F40</f>
        <v>530.6</v>
      </c>
      <c r="I40" s="12"/>
    </row>
    <row r="41" ht="15.0" customHeight="1">
      <c r="A41" s="31" t="s">
        <v>49</v>
      </c>
      <c r="E41" s="21"/>
      <c r="F41" s="35">
        <v>2.0</v>
      </c>
      <c r="G41" s="35">
        <v>130.0</v>
      </c>
      <c r="H41" s="35">
        <v>260.0</v>
      </c>
      <c r="I41" s="12"/>
    </row>
    <row r="42" ht="15.0" customHeight="1">
      <c r="A42" s="36" t="s">
        <v>50</v>
      </c>
      <c r="E42" s="21"/>
      <c r="F42" s="35"/>
      <c r="G42" s="35"/>
      <c r="H42" s="21"/>
      <c r="I42" s="12"/>
    </row>
    <row r="43" ht="15.0" customHeight="1">
      <c r="A43" s="31" t="s">
        <v>51</v>
      </c>
      <c r="E43" s="21"/>
      <c r="F43" s="35">
        <v>108.0</v>
      </c>
      <c r="G43" s="35">
        <v>2.45</v>
      </c>
      <c r="H43" s="35">
        <f>G43*F43</f>
        <v>264.6</v>
      </c>
      <c r="I43" s="12"/>
    </row>
    <row r="44" ht="15.0" customHeight="1">
      <c r="A44" s="31" t="s">
        <v>52</v>
      </c>
      <c r="E44" s="21"/>
      <c r="F44" s="35">
        <v>108.0</v>
      </c>
      <c r="G44" s="35">
        <v>0.2</v>
      </c>
      <c r="H44" s="21">
        <f t="shared" ref="H44:H45" si="6">F44*G44</f>
        <v>21.6</v>
      </c>
      <c r="I44" s="12"/>
    </row>
    <row r="45" ht="15.0" customHeight="1">
      <c r="A45" s="31" t="s">
        <v>53</v>
      </c>
      <c r="E45" s="21"/>
      <c r="F45" s="35">
        <v>19.0</v>
      </c>
      <c r="G45" s="35">
        <v>12.0</v>
      </c>
      <c r="H45" s="35">
        <f t="shared" si="6"/>
        <v>228</v>
      </c>
      <c r="I45" s="12"/>
    </row>
    <row r="46" ht="15.0" customHeight="1">
      <c r="A46" s="31" t="s">
        <v>54</v>
      </c>
      <c r="E46" s="21"/>
      <c r="F46" s="35">
        <v>1.0</v>
      </c>
      <c r="G46" s="35">
        <v>120.0</v>
      </c>
      <c r="H46" s="35">
        <v>120.0</v>
      </c>
      <c r="I46" s="12"/>
    </row>
    <row r="47" ht="15.0" customHeight="1">
      <c r="A47" s="31" t="s">
        <v>55</v>
      </c>
      <c r="E47" s="21"/>
      <c r="F47" s="35">
        <v>2.0</v>
      </c>
      <c r="G47" s="35">
        <v>100.0</v>
      </c>
      <c r="H47" s="21">
        <f t="shared" ref="H47:H51" si="7">G47*F47</f>
        <v>200</v>
      </c>
      <c r="I47" s="12"/>
    </row>
    <row r="48" ht="15.0" customHeight="1">
      <c r="A48" s="31" t="s">
        <v>56</v>
      </c>
      <c r="E48" s="21"/>
      <c r="F48" s="35">
        <v>3.0</v>
      </c>
      <c r="G48" s="35">
        <v>85.0</v>
      </c>
      <c r="H48" s="21">
        <f t="shared" si="7"/>
        <v>255</v>
      </c>
      <c r="I48" s="12"/>
    </row>
    <row r="49" ht="15.0" customHeight="1">
      <c r="A49" s="31" t="s">
        <v>57</v>
      </c>
      <c r="E49" s="21"/>
      <c r="F49" s="35">
        <v>2.0</v>
      </c>
      <c r="G49" s="35">
        <v>85.0</v>
      </c>
      <c r="H49" s="21">
        <f t="shared" si="7"/>
        <v>170</v>
      </c>
      <c r="I49" s="12"/>
    </row>
    <row r="50" ht="15.0" customHeight="1">
      <c r="A50" s="31" t="s">
        <v>58</v>
      </c>
      <c r="E50" s="21"/>
      <c r="F50" s="35">
        <v>2.0</v>
      </c>
      <c r="G50" s="35">
        <v>50.0</v>
      </c>
      <c r="H50" s="21">
        <f t="shared" si="7"/>
        <v>100</v>
      </c>
      <c r="I50" s="12"/>
    </row>
    <row r="51" ht="15.0" customHeight="1">
      <c r="A51" s="31" t="s">
        <v>59</v>
      </c>
      <c r="E51" s="21"/>
      <c r="F51" s="35">
        <v>1.0</v>
      </c>
      <c r="G51" s="35">
        <v>120.0</v>
      </c>
      <c r="H51" s="21">
        <f t="shared" si="7"/>
        <v>120</v>
      </c>
      <c r="I51" s="12"/>
    </row>
    <row r="52" ht="15.0" customHeight="1">
      <c r="A52" s="31" t="s">
        <v>60</v>
      </c>
      <c r="E52" s="21"/>
      <c r="F52" s="35">
        <v>1.0</v>
      </c>
      <c r="G52" s="35">
        <v>120.0</v>
      </c>
      <c r="H52" s="35">
        <v>120.0</v>
      </c>
      <c r="I52" s="12"/>
    </row>
    <row r="53" ht="15.0" customHeight="1">
      <c r="A53" s="31" t="s">
        <v>61</v>
      </c>
      <c r="E53" s="21"/>
      <c r="F53" s="35">
        <v>97.0</v>
      </c>
      <c r="G53" s="35">
        <v>2.5</v>
      </c>
      <c r="H53" s="21">
        <f>G53*F53</f>
        <v>242.5</v>
      </c>
      <c r="I53" s="12"/>
    </row>
    <row r="54" ht="15.0" customHeight="1">
      <c r="A54" s="31" t="s">
        <v>62</v>
      </c>
      <c r="E54" s="21"/>
      <c r="F54" s="35">
        <v>1.0</v>
      </c>
      <c r="G54" s="35">
        <v>120.0</v>
      </c>
      <c r="H54" s="35">
        <v>120.0</v>
      </c>
      <c r="I54" s="12"/>
    </row>
    <row r="55" ht="15.0" customHeight="1">
      <c r="A55" s="31" t="s">
        <v>63</v>
      </c>
      <c r="E55" s="21"/>
      <c r="F55" s="35">
        <v>1.0</v>
      </c>
      <c r="G55" s="35">
        <v>85.0</v>
      </c>
      <c r="H55" s="21">
        <f t="shared" ref="H55:H56" si="8">G55*F55</f>
        <v>85</v>
      </c>
      <c r="I55" s="12"/>
    </row>
    <row r="56" ht="15.0" customHeight="1">
      <c r="A56" s="31" t="s">
        <v>64</v>
      </c>
      <c r="E56" s="21"/>
      <c r="F56" s="35">
        <v>678.0</v>
      </c>
      <c r="G56" s="35">
        <v>0.2</v>
      </c>
      <c r="H56" s="21">
        <f t="shared" si="8"/>
        <v>135.6</v>
      </c>
      <c r="I56" s="12"/>
    </row>
    <row r="57" ht="15.0" customHeight="1">
      <c r="A57" s="12"/>
      <c r="E57" s="21"/>
      <c r="F57" s="22" t="s">
        <v>65</v>
      </c>
      <c r="G57" s="25"/>
      <c r="H57" s="33">
        <f>SUM(H14:H56)</f>
        <v>20646.15</v>
      </c>
      <c r="I57" s="12"/>
    </row>
    <row r="58" ht="15.0" customHeight="1">
      <c r="A58" s="37"/>
      <c r="B58" s="8"/>
      <c r="C58" s="8"/>
      <c r="D58" s="8"/>
      <c r="E58" s="25"/>
      <c r="F58" s="38" t="s">
        <v>66</v>
      </c>
      <c r="G58" s="11"/>
      <c r="H58" s="39">
        <v>9000.0</v>
      </c>
      <c r="I58" s="12"/>
    </row>
    <row r="59">
      <c r="D59" s="21"/>
      <c r="E59" s="40"/>
      <c r="F59" s="41"/>
      <c r="G59" s="10"/>
      <c r="H59" s="42"/>
      <c r="I59" s="12"/>
    </row>
    <row r="60">
      <c r="D60" s="21"/>
      <c r="E60" s="43" t="s">
        <v>67</v>
      </c>
      <c r="F60" s="44"/>
      <c r="G60" s="45"/>
      <c r="H60" s="46">
        <v>4847.9</v>
      </c>
      <c r="I60" s="12"/>
    </row>
    <row r="61">
      <c r="A61" s="15"/>
      <c r="B61" s="15"/>
      <c r="C61" s="15"/>
      <c r="D61" s="17"/>
      <c r="E61" s="41" t="s">
        <v>68</v>
      </c>
      <c r="F61" s="10"/>
      <c r="G61" s="10"/>
      <c r="H61" s="47">
        <f>H57-(H58+H60)</f>
        <v>6798.25</v>
      </c>
      <c r="I61" s="12"/>
    </row>
    <row r="62">
      <c r="E62" s="15"/>
      <c r="F62" s="15"/>
      <c r="G62" s="15"/>
      <c r="H62" s="15"/>
    </row>
    <row r="63">
      <c r="A63" s="3" t="s">
        <v>69</v>
      </c>
    </row>
    <row r="64">
      <c r="A64" s="3" t="s">
        <v>70</v>
      </c>
    </row>
    <row r="65">
      <c r="A65" s="3" t="s">
        <v>71</v>
      </c>
    </row>
    <row r="67">
      <c r="A67" s="48" t="s">
        <v>72</v>
      </c>
    </row>
    <row r="68">
      <c r="A68" s="49" t="s">
        <v>73</v>
      </c>
    </row>
    <row r="69">
      <c r="A69" s="50"/>
    </row>
  </sheetData>
  <mergeCells count="69">
    <mergeCell ref="A48:E48"/>
    <mergeCell ref="A49:E49"/>
    <mergeCell ref="A50:E50"/>
    <mergeCell ref="A51:E51"/>
    <mergeCell ref="A52:E52"/>
    <mergeCell ref="A53:E53"/>
    <mergeCell ref="A54:E54"/>
    <mergeCell ref="A63:E63"/>
    <mergeCell ref="A64:E64"/>
    <mergeCell ref="A65:E65"/>
    <mergeCell ref="A67:H67"/>
    <mergeCell ref="A68:H68"/>
    <mergeCell ref="A69:G69"/>
    <mergeCell ref="A55:E55"/>
    <mergeCell ref="A56:E56"/>
    <mergeCell ref="A57:E57"/>
    <mergeCell ref="F57:G57"/>
    <mergeCell ref="A58:E58"/>
    <mergeCell ref="F58:G58"/>
    <mergeCell ref="E61:F61"/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