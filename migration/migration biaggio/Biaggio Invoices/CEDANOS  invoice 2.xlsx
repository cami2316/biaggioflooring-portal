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<sst xmlns="http://schemas.openxmlformats.org/spreadsheetml/2006/main" count="94" uniqueCount="87">
  <si>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</si>
  <si>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</si>
  <si>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</si>
  <si>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</si>
  <si>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</si>
  <si>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</si>
  <si>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</si>
  <si>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</si>
  <si>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</si>
  <si>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</si>
  <si>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</si>
  <si>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</si>
  <si>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</si>
  <si>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 CEDANO HOUSE</t>
  </si>
  <si>
    <t>Phone:</t>
  </si>
  <si>
    <t>Address:</t>
  </si>
  <si>
    <t>Cell:</t>
  </si>
  <si>
    <t>City, St. Zip:</t>
  </si>
  <si>
    <t xml:space="preserve">orlando </t>
  </si>
  <si>
    <t>Email:</t>
  </si>
  <si>
    <t>Description</t>
  </si>
  <si>
    <t>Price</t>
  </si>
  <si>
    <t>sqft</t>
  </si>
  <si>
    <t>Amount</t>
  </si>
  <si>
    <t>Eng. Wood Flooring Throughout 1St &amp; 2Nd Floor</t>
  </si>
  <si>
    <t>1St Floo</t>
  </si>
  <si>
    <t>2Nd Floor</t>
  </si>
  <si>
    <t>Ram Board</t>
  </si>
  <si>
    <t>Foyer</t>
  </si>
  <si>
    <t>Entry Foyer 81 Sqft Marble Inlay</t>
  </si>
  <si>
    <t>Entry Foyer Stair Rise</t>
  </si>
  <si>
    <t>INSERT marble inlay adjust with wood (time spend calc)</t>
  </si>
  <si>
    <t>● Foyer Water Feature Wall: 51 Sq Ft Of 3”X8” Tile</t>
  </si>
  <si>
    <t>Wine Room:</t>
  </si>
  <si>
    <t>Wine Room: 106 Sq Ft Of 3”X12” Mesh. Tile Are Mesh Backed In Chevron Pattern</t>
  </si>
  <si>
    <t>Master Bath:</t>
  </si>
  <si>
    <t>Master Shower Floor Material Tbd. Square Footage Is 62</t>
  </si>
  <si>
    <t>Walking Shower /Curb</t>
  </si>
  <si>
    <t>Master Bath: 166 Sq Ft Of Material To Be Determined. Will Likely Be Large Format Porcelain. 48”X48”</t>
  </si>
  <si>
    <t>Pool Bath:</t>
  </si>
  <si>
    <t>Pool Bath: 61.75 Sq Ft Of Mixed Penny Tile Mosaic. Black And White Stripe Pattern.</t>
  </si>
  <si>
    <t>Pool Bath Shower Floor: 19.5 Sq Ft Of Penny Mosaic In Stripe Pattern.</t>
  </si>
  <si>
    <t>Curb</t>
  </si>
  <si>
    <t>Stripe Pattern</t>
  </si>
  <si>
    <t>Pool Bath Walls: 150 Sq Ft Of 2.75”X11” Tile – 1 Bench – 1 Linear Niche</t>
  </si>
  <si>
    <t xml:space="preserve"> - Install 1/5” Cement Board</t>
  </si>
  <si>
    <t>1 Bench</t>
  </si>
  <si>
    <t>1 Linear Niche</t>
  </si>
  <si>
    <t>Bath 02</t>
  </si>
  <si>
    <t>Bath #2: 84 Sq Ft Of 12X24  marble</t>
  </si>
  <si>
    <t>Bath #2 Shower Floor: 16.25 Sq Ft Of 2”X8” Marble Subway Type Tile</t>
  </si>
  <si>
    <t>Bath #2 Shower Walls: 115 Sq Ft Of 12”X24” With One Mosaic Accent Wall - 2 Niches</t>
  </si>
  <si>
    <t>Accent Tile</t>
  </si>
  <si>
    <t>Mosaic</t>
  </si>
  <si>
    <t>2 Niches</t>
  </si>
  <si>
    <t>Laundry Room</t>
  </si>
  <si>
    <t>Laundy Room: 80.75 Sq Ft Of 12”X12” Hex Mosaic marble</t>
  </si>
  <si>
    <t>Movie Room Bath</t>
  </si>
  <si>
    <t>Upstairs Powder (By Movie Room): 30 Sq Ft Of 1”X1” Glass Mosaic</t>
  </si>
  <si>
    <t>Install ¼” Cement Board</t>
  </si>
  <si>
    <t>Bath 03</t>
  </si>
  <si>
    <t>Bath #3: 42.5 Sq Ft Of 8.5”X10” Hex Tile</t>
  </si>
  <si>
    <t>- Install ¼” Cement Board</t>
  </si>
  <si>
    <t>Bath #3 Shower Floor: 16.25 Sq Ft Of Penny Mosaic</t>
  </si>
  <si>
    <t>Bath #3 Shower Walls: 106 Sq Ft Of 2.5”X8” Tile – 1 Window – 2 Niches</t>
  </si>
  <si>
    <t>1 Window</t>
  </si>
  <si>
    <t>Bath 04</t>
  </si>
  <si>
    <t>Bath #4: 35 Sq Ft Of 4’X24” Porcelain Tile -</t>
  </si>
  <si>
    <t>Bath #4 Tub Walls: 95 Sq Ft Of 24”X48” Porcelain Tile - 1 Niche</t>
  </si>
  <si>
    <t>1 Niche</t>
  </si>
  <si>
    <t>Balconys</t>
  </si>
  <si>
    <t>● Front Balcony: 186 Sq Ft Of 12”X24” Marble</t>
  </si>
  <si>
    <t>● Rear Balcony: 246.5 Sq Ft Of 12”X24” Marble</t>
  </si>
  <si>
    <t>Bedroom 5</t>
  </si>
  <si>
    <t>Bedroom #5 Accent Wall: 150 Sq Ft Of Thin Brick Type Veneer/Tile</t>
  </si>
  <si>
    <t>spacer 6 BOX (1/16) (1/32) (1/8)</t>
  </si>
  <si>
    <t>self leveler provision</t>
  </si>
  <si>
    <t>grinder (provision)</t>
  </si>
  <si>
    <t>total</t>
  </si>
  <si>
    <t>paid</t>
  </si>
  <si>
    <t>please pay  parcial</t>
  </si>
  <si>
    <t>9OOO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</si>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</sst>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18">
    <font>
      <sz val="10.0"/>
      <color rgb="FF000000"/>
      <name val="Arial"/>
      <scheme val="minor"/>
    </font>
    <font>
      <sz val="18.0"/>
      <color theme="1"/>
      <name val="Arial"/>
    </font>
    <font>
      <sz val="18.0"/>
      <color rgb="FF99CCFF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sz val="12.0"/>
      <color theme="1"/>
      <name val="Arial"/>
    </font>
    <font>
      <color theme="1"/>
      <name val="Verdana"/>
    </font>
    <font>
      <color rgb="FF000000"/>
      <name val="Verdana"/>
    </font>
    <font>
      <color rgb="FF000000"/>
      <name val="Arial"/>
      <scheme val="minor"/>
    </font>
    <font>
      <sz val="9.0"/>
      <color theme="1"/>
      <name val="Arial"/>
    </font>
    <font>
      <b/>
      <sz val="9.0"/>
      <color rgb="FFFF0000"/>
      <name val="Arial"/>
    </font>
    <font>
      <b/>
      <sz val="17.0"/>
      <color rgb="FFFF0000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readingOrder="0" shrinkToFit="0" wrapText="1"/>
    </xf>
    <xf borderId="9" fillId="0" fontId="8" numFmtId="165" xfId="0" applyAlignment="1" applyBorder="1" applyFont="1" applyNumberFormat="1">
      <alignment shrinkToFit="0" vertical="bottom" wrapText="1"/>
    </xf>
    <xf borderId="9" fillId="0" fontId="8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9" fillId="0" fontId="9" numFmtId="165" xfId="0" applyAlignment="1" applyBorder="1" applyFont="1" applyNumberFormat="1">
      <alignment horizontal="right" readingOrder="0" shrinkToFit="0" vertical="bottom" wrapText="1"/>
    </xf>
    <xf borderId="9" fillId="0" fontId="9" numFmtId="0" xfId="0" applyAlignment="1" applyBorder="1" applyFont="1">
      <alignment horizontal="right" shrinkToFit="0" vertical="bottom" wrapText="1"/>
    </xf>
    <xf borderId="9" fillId="0" fontId="3" numFmtId="165" xfId="0" applyAlignment="1" applyBorder="1" applyFont="1" applyNumberFormat="1">
      <alignment shrinkToFit="0" wrapText="1"/>
    </xf>
    <xf borderId="9" fillId="0" fontId="9" numFmtId="165" xfId="0" applyAlignment="1" applyBorder="1" applyFont="1" applyNumberFormat="1">
      <alignment horizontal="right" shrinkToFit="0" vertical="bottom" wrapText="1"/>
    </xf>
    <xf borderId="9" fillId="0" fontId="9" numFmtId="0" xfId="0" applyAlignment="1" applyBorder="1" applyFont="1">
      <alignment horizontal="right" readingOrder="0" shrinkToFit="0" vertical="bottom" wrapText="1"/>
    </xf>
    <xf borderId="0" fillId="0" fontId="10" numFmtId="0" xfId="0" applyAlignment="1" applyFont="1">
      <alignment readingOrder="0" shrinkToFit="0" wrapText="1"/>
    </xf>
    <xf borderId="5" fillId="3" fontId="3" numFmtId="0" xfId="0" applyAlignment="1" applyBorder="1" applyFill="1" applyFont="1">
      <alignment readingOrder="0" shrinkToFit="0" wrapText="1"/>
    </xf>
    <xf borderId="9" fillId="3" fontId="8" numFmtId="165" xfId="0" applyAlignment="1" applyBorder="1" applyFont="1" applyNumberFormat="1">
      <alignment shrinkToFit="0" vertical="bottom" wrapText="1"/>
    </xf>
    <xf borderId="9" fillId="3" fontId="8" numFmtId="0" xfId="0" applyAlignment="1" applyBorder="1" applyFont="1">
      <alignment shrinkToFit="0" vertical="bottom" wrapText="1"/>
    </xf>
    <xf borderId="9" fillId="3" fontId="3" numFmtId="165" xfId="0" applyAlignment="1" applyBorder="1" applyFont="1" applyNumberFormat="1">
      <alignment shrinkToFit="0" wrapText="1"/>
    </xf>
    <xf borderId="9" fillId="0" fontId="3" numFmtId="0" xfId="0" applyAlignment="1" applyBorder="1" applyFont="1">
      <alignment shrinkToFit="0" wrapText="1"/>
    </xf>
    <xf borderId="13" fillId="0" fontId="3" numFmtId="165" xfId="0" applyAlignment="1" applyBorder="1" applyFont="1" applyNumberForma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165" xfId="0" applyAlignment="1" applyBorder="1" applyFont="1" applyNumberFormat="1">
      <alignment shrinkToFit="0" wrapText="1"/>
    </xf>
    <xf borderId="10" fillId="0" fontId="11" numFmtId="0" xfId="0" applyAlignment="1" applyBorder="1" applyFont="1">
      <alignment readingOrder="0" shrinkToFit="0" wrapText="1"/>
    </xf>
    <xf borderId="11" fillId="0" fontId="3" numFmtId="165" xfId="0" applyAlignment="1" applyBorder="1" applyFont="1" applyNumberForma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1" fillId="0" fontId="3" numFmtId="165" xfId="0" applyAlignment="1" applyBorder="1" applyFont="1" applyNumberFormat="1">
      <alignment shrinkToFit="0" wrapText="1"/>
    </xf>
    <xf borderId="5" fillId="0" fontId="12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14" fillId="0" fontId="14" numFmtId="0" xfId="0" applyAlignment="1" applyBorder="1" applyFont="1">
      <alignment shrinkToFit="0" wrapText="1"/>
    </xf>
    <xf borderId="10" fillId="0" fontId="15" numFmtId="0" xfId="0" applyAlignment="1" applyBorder="1" applyFont="1">
      <alignment shrinkToFit="0" wrapText="1"/>
    </xf>
    <xf borderId="2" fillId="0" fontId="15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0" fontId="16" numFmtId="0" xfId="0" applyAlignment="1" applyBorder="1" applyFont="1">
      <alignment readingOrder="0" shrinkToFit="0" wrapText="1"/>
    </xf>
    <xf borderId="2" fillId="0" fontId="15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4.88"/>
    <col customWidth="1" min="9" max="9" width="15.13"/>
  </cols>
  <sheetData>
    <row r="1" ht="29.2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46034.0</v>
      </c>
    </row>
    <row r="3" ht="12.75" customHeight="1">
      <c r="A3" s="3" t="s">
        <v>4</v>
      </c>
      <c r="F3" s="4" t="s">
        <v>5</v>
      </c>
      <c r="H3" s="6">
        <v>251008.0</v>
      </c>
    </row>
    <row r="4" ht="12.75" customHeight="1">
      <c r="A4" s="3" t="s">
        <v>6</v>
      </c>
      <c r="F4" s="7" t="s">
        <v>7</v>
      </c>
      <c r="H4" s="3"/>
    </row>
    <row r="5" ht="12.75" customHeight="1">
      <c r="G5" s="7" t="s">
        <v>8</v>
      </c>
    </row>
    <row r="6" ht="12.75" customHeight="1">
      <c r="F6" s="7" t="s">
        <v>9</v>
      </c>
      <c r="H6" s="3" t="s">
        <v>10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6"/>
      <c r="H10" s="17"/>
      <c r="I10" s="12"/>
    </row>
    <row r="11" ht="12.75" customHeight="1">
      <c r="A11" s="12" t="s">
        <v>15</v>
      </c>
      <c r="B11" s="3"/>
      <c r="F11" s="3" t="s">
        <v>16</v>
      </c>
      <c r="G11" s="3"/>
      <c r="H11" s="18"/>
      <c r="I11" s="12"/>
    </row>
    <row r="12" ht="12.75" customHeight="1">
      <c r="A12" s="19" t="s">
        <v>17</v>
      </c>
      <c r="B12" s="8" t="s">
        <v>18</v>
      </c>
      <c r="C12" s="20"/>
      <c r="D12" s="20"/>
      <c r="E12" s="20"/>
      <c r="F12" s="8" t="s">
        <v>19</v>
      </c>
      <c r="G12" s="8"/>
      <c r="H12" s="21"/>
      <c r="I12" s="12"/>
    </row>
    <row r="13" ht="12.75" customHeight="1">
      <c r="A13" s="22"/>
      <c r="B13" s="22"/>
      <c r="C13" s="22"/>
      <c r="D13" s="22"/>
      <c r="E13" s="22"/>
      <c r="F13" s="22"/>
      <c r="G13" s="22"/>
      <c r="H13" s="22"/>
    </row>
    <row r="14" ht="12.75" customHeight="1">
      <c r="A14" s="23" t="s">
        <v>20</v>
      </c>
      <c r="B14" s="10"/>
      <c r="C14" s="10"/>
      <c r="D14" s="10"/>
      <c r="E14" s="10"/>
      <c r="F14" s="24" t="s">
        <v>21</v>
      </c>
      <c r="G14" s="24" t="s">
        <v>22</v>
      </c>
      <c r="H14" s="25" t="s">
        <v>23</v>
      </c>
      <c r="I14" s="12"/>
    </row>
    <row r="15" ht="15.0" customHeight="1">
      <c r="A15" s="26" t="s">
        <v>24</v>
      </c>
      <c r="B15" s="15"/>
      <c r="C15" s="15"/>
      <c r="D15" s="15"/>
      <c r="E15" s="17"/>
      <c r="F15" s="27"/>
      <c r="G15" s="28"/>
      <c r="H15" s="29"/>
      <c r="I15" s="12"/>
    </row>
    <row r="16" ht="15.0" customHeight="1">
      <c r="A16" s="30" t="s">
        <v>25</v>
      </c>
      <c r="E16" s="18"/>
      <c r="F16" s="31">
        <v>4.1</v>
      </c>
      <c r="G16" s="32">
        <v>3456.5</v>
      </c>
      <c r="H16" s="33">
        <f t="shared" ref="H16:H70" si="1">F16*G16</f>
        <v>14171.65</v>
      </c>
      <c r="I16" s="30"/>
    </row>
    <row r="17" ht="15.0" customHeight="1">
      <c r="A17" s="30" t="s">
        <v>26</v>
      </c>
      <c r="E17" s="18"/>
      <c r="F17" s="31">
        <v>4.1</v>
      </c>
      <c r="G17" s="32">
        <v>849.5</v>
      </c>
      <c r="H17" s="33">
        <f t="shared" si="1"/>
        <v>3482.95</v>
      </c>
      <c r="I17" s="30"/>
    </row>
    <row r="18" ht="15.0" customHeight="1">
      <c r="A18" s="30" t="s">
        <v>27</v>
      </c>
      <c r="E18" s="18"/>
      <c r="F18" s="34">
        <v>0.2</v>
      </c>
      <c r="G18" s="35">
        <v>5426.0</v>
      </c>
      <c r="H18" s="33">
        <f t="shared" si="1"/>
        <v>1085.2</v>
      </c>
      <c r="I18" s="30"/>
    </row>
    <row r="19" ht="15.0" customHeight="1">
      <c r="A19" s="30" t="s">
        <v>28</v>
      </c>
      <c r="E19" s="18"/>
      <c r="F19" s="27"/>
      <c r="G19" s="28"/>
      <c r="H19" s="33">
        <f t="shared" si="1"/>
        <v>0</v>
      </c>
      <c r="I19" s="12"/>
    </row>
    <row r="20" ht="15.0" customHeight="1">
      <c r="A20" s="30" t="s">
        <v>29</v>
      </c>
      <c r="E20" s="18"/>
      <c r="F20" s="34">
        <v>6.9</v>
      </c>
      <c r="G20" s="32">
        <v>81.0</v>
      </c>
      <c r="H20" s="33">
        <f t="shared" si="1"/>
        <v>558.9</v>
      </c>
      <c r="I20" s="30"/>
    </row>
    <row r="21" ht="15.0" customHeight="1">
      <c r="A21" s="30" t="s">
        <v>30</v>
      </c>
      <c r="E21" s="18"/>
      <c r="F21" s="34">
        <v>300.0</v>
      </c>
      <c r="G21" s="32">
        <v>1.0</v>
      </c>
      <c r="H21" s="33">
        <f t="shared" si="1"/>
        <v>300</v>
      </c>
      <c r="I21" s="30"/>
    </row>
    <row r="22" ht="15.0" customHeight="1">
      <c r="A22" s="30" t="s">
        <v>31</v>
      </c>
      <c r="E22" s="18"/>
      <c r="F22" s="34">
        <v>60.0</v>
      </c>
      <c r="G22" s="32">
        <v>4.0</v>
      </c>
      <c r="H22" s="33">
        <f t="shared" si="1"/>
        <v>240</v>
      </c>
      <c r="I22" s="30"/>
    </row>
    <row r="23" ht="15.0" customHeight="1">
      <c r="A23" s="30" t="s">
        <v>32</v>
      </c>
      <c r="E23" s="18"/>
      <c r="F23" s="34">
        <v>14.0</v>
      </c>
      <c r="G23" s="32">
        <v>51.0</v>
      </c>
      <c r="H23" s="33">
        <f t="shared" si="1"/>
        <v>714</v>
      </c>
      <c r="I23" s="30"/>
    </row>
    <row r="24" ht="15.0" customHeight="1">
      <c r="A24" s="30" t="s">
        <v>33</v>
      </c>
      <c r="E24" s="18"/>
      <c r="F24" s="27"/>
      <c r="G24" s="28"/>
      <c r="H24" s="33">
        <f t="shared" si="1"/>
        <v>0</v>
      </c>
      <c r="I24" s="12"/>
    </row>
    <row r="25" ht="15.0" customHeight="1">
      <c r="A25" s="30" t="s">
        <v>34</v>
      </c>
      <c r="E25" s="18"/>
      <c r="F25" s="34">
        <v>6.5</v>
      </c>
      <c r="G25" s="32">
        <v>106.0</v>
      </c>
      <c r="H25" s="33">
        <f t="shared" si="1"/>
        <v>689</v>
      </c>
      <c r="I25" s="30"/>
    </row>
    <row r="26" ht="15.0" customHeight="1">
      <c r="A26" s="30" t="s">
        <v>35</v>
      </c>
      <c r="E26" s="18"/>
      <c r="F26" s="27"/>
      <c r="G26" s="28"/>
      <c r="H26" s="33">
        <f t="shared" si="1"/>
        <v>0</v>
      </c>
      <c r="I26" s="12"/>
    </row>
    <row r="27" ht="15.0" customHeight="1">
      <c r="A27" s="30" t="s">
        <v>36</v>
      </c>
      <c r="E27" s="18"/>
      <c r="F27" s="34">
        <v>45.0</v>
      </c>
      <c r="G27" s="32">
        <v>62.0</v>
      </c>
      <c r="H27" s="33">
        <f t="shared" si="1"/>
        <v>2790</v>
      </c>
      <c r="I27" s="30"/>
    </row>
    <row r="28" ht="15.0" customHeight="1">
      <c r="A28" s="30" t="s">
        <v>37</v>
      </c>
      <c r="E28" s="18"/>
      <c r="F28" s="31">
        <v>200.0</v>
      </c>
      <c r="G28" s="32">
        <v>1.0</v>
      </c>
      <c r="H28" s="33">
        <f t="shared" si="1"/>
        <v>200</v>
      </c>
      <c r="I28" s="30"/>
    </row>
    <row r="29" ht="15.0" customHeight="1">
      <c r="A29" s="30" t="s">
        <v>38</v>
      </c>
      <c r="E29" s="18"/>
      <c r="F29" s="34">
        <v>4.9</v>
      </c>
      <c r="G29" s="32">
        <v>166.0</v>
      </c>
      <c r="H29" s="33">
        <f t="shared" si="1"/>
        <v>813.4</v>
      </c>
      <c r="I29" s="30"/>
    </row>
    <row r="30" ht="15.0" customHeight="1">
      <c r="A30" s="30" t="s">
        <v>39</v>
      </c>
      <c r="E30" s="18"/>
      <c r="F30" s="27"/>
      <c r="G30" s="28"/>
      <c r="H30" s="33">
        <f t="shared" si="1"/>
        <v>0</v>
      </c>
      <c r="I30" s="12"/>
    </row>
    <row r="31" ht="15.0" customHeight="1">
      <c r="A31" s="30" t="s">
        <v>40</v>
      </c>
      <c r="E31" s="18"/>
      <c r="F31" s="34">
        <v>4.1</v>
      </c>
      <c r="G31" s="32">
        <v>61.75</v>
      </c>
      <c r="H31" s="33">
        <f t="shared" si="1"/>
        <v>253.175</v>
      </c>
      <c r="I31" s="30"/>
    </row>
    <row r="32" ht="15.0" customHeight="1">
      <c r="A32" s="30" t="s">
        <v>41</v>
      </c>
      <c r="E32" s="18"/>
      <c r="F32" s="34">
        <v>40.0</v>
      </c>
      <c r="G32" s="32">
        <v>19.5</v>
      </c>
      <c r="H32" s="33">
        <f t="shared" si="1"/>
        <v>780</v>
      </c>
      <c r="I32" s="30"/>
    </row>
    <row r="33" ht="15.0" customHeight="1">
      <c r="A33" s="30" t="s">
        <v>42</v>
      </c>
      <c r="E33" s="18"/>
      <c r="F33" s="31">
        <v>100.0</v>
      </c>
      <c r="G33" s="32">
        <v>1.0</v>
      </c>
      <c r="H33" s="33">
        <f t="shared" si="1"/>
        <v>100</v>
      </c>
      <c r="I33" s="12"/>
    </row>
    <row r="34" ht="15.0" customHeight="1">
      <c r="A34" s="30" t="s">
        <v>43</v>
      </c>
      <c r="E34" s="18"/>
      <c r="F34" s="34">
        <v>350.0</v>
      </c>
      <c r="G34" s="32">
        <v>1.0</v>
      </c>
      <c r="H34" s="33">
        <f t="shared" si="1"/>
        <v>350</v>
      </c>
      <c r="I34" s="30"/>
    </row>
    <row r="35" ht="15.0" customHeight="1">
      <c r="A35" s="30" t="s">
        <v>44</v>
      </c>
      <c r="E35" s="18"/>
      <c r="F35" s="34">
        <v>14.0</v>
      </c>
      <c r="G35" s="32">
        <v>150.0</v>
      </c>
      <c r="H35" s="33">
        <f t="shared" si="1"/>
        <v>2100</v>
      </c>
      <c r="I35" s="30"/>
    </row>
    <row r="36" ht="15.0" customHeight="1">
      <c r="A36" s="36" t="s">
        <v>45</v>
      </c>
      <c r="E36" s="18"/>
      <c r="F36" s="31">
        <v>2.5</v>
      </c>
      <c r="G36" s="35">
        <v>150.0</v>
      </c>
      <c r="H36" s="33">
        <f t="shared" si="1"/>
        <v>375</v>
      </c>
      <c r="I36" s="30"/>
    </row>
    <row r="37" ht="15.0" customHeight="1">
      <c r="A37" s="30" t="s">
        <v>46</v>
      </c>
      <c r="E37" s="18"/>
      <c r="F37" s="31">
        <v>100.0</v>
      </c>
      <c r="G37" s="32">
        <v>1.0</v>
      </c>
      <c r="H37" s="33">
        <f t="shared" si="1"/>
        <v>100</v>
      </c>
      <c r="I37" s="30"/>
    </row>
    <row r="38" ht="15.0" customHeight="1">
      <c r="A38" s="30" t="s">
        <v>47</v>
      </c>
      <c r="E38" s="18"/>
      <c r="F38" s="31">
        <v>350.0</v>
      </c>
      <c r="G38" s="32">
        <v>1.0</v>
      </c>
      <c r="H38" s="33">
        <f t="shared" si="1"/>
        <v>350</v>
      </c>
      <c r="I38" s="30"/>
    </row>
    <row r="39" ht="15.0" customHeight="1">
      <c r="A39" s="30" t="s">
        <v>48</v>
      </c>
      <c r="E39" s="18"/>
      <c r="F39" s="27"/>
      <c r="G39" s="28"/>
      <c r="H39" s="33">
        <f t="shared" si="1"/>
        <v>0</v>
      </c>
      <c r="I39" s="12"/>
    </row>
    <row r="40" ht="15.0" customHeight="1">
      <c r="A40" s="30" t="s">
        <v>49</v>
      </c>
      <c r="E40" s="18"/>
      <c r="F40" s="34">
        <v>6.5</v>
      </c>
      <c r="G40" s="32">
        <v>84.0</v>
      </c>
      <c r="H40" s="33">
        <f t="shared" si="1"/>
        <v>546</v>
      </c>
      <c r="I40" s="30"/>
    </row>
    <row r="41" ht="15.0" customHeight="1">
      <c r="A41" s="30" t="s">
        <v>50</v>
      </c>
      <c r="E41" s="18"/>
      <c r="F41" s="34">
        <v>45.0</v>
      </c>
      <c r="G41" s="32">
        <v>16.25</v>
      </c>
      <c r="H41" s="33">
        <f t="shared" si="1"/>
        <v>731.25</v>
      </c>
      <c r="I41" s="30"/>
    </row>
    <row r="42" ht="15.0" customHeight="1">
      <c r="A42" s="30" t="s">
        <v>51</v>
      </c>
      <c r="E42" s="18"/>
      <c r="F42" s="31">
        <v>16.0</v>
      </c>
      <c r="G42" s="32">
        <v>115.0</v>
      </c>
      <c r="H42" s="33">
        <f t="shared" si="1"/>
        <v>1840</v>
      </c>
      <c r="I42" s="12"/>
    </row>
    <row r="43" ht="15.0" customHeight="1">
      <c r="A43" s="36" t="s">
        <v>45</v>
      </c>
      <c r="E43" s="18"/>
      <c r="F43" s="31">
        <v>2.5</v>
      </c>
      <c r="G43" s="35">
        <v>115.0</v>
      </c>
      <c r="H43" s="33">
        <f t="shared" si="1"/>
        <v>287.5</v>
      </c>
      <c r="I43" s="30"/>
    </row>
    <row r="44" ht="15.0" customHeight="1">
      <c r="A44" s="37" t="s">
        <v>52</v>
      </c>
      <c r="E44" s="18"/>
      <c r="F44" s="38"/>
      <c r="G44" s="39"/>
      <c r="H44" s="40">
        <f t="shared" si="1"/>
        <v>0</v>
      </c>
      <c r="I44" s="12"/>
    </row>
    <row r="45" ht="15.0" customHeight="1">
      <c r="A45" s="30" t="s">
        <v>42</v>
      </c>
      <c r="E45" s="18"/>
      <c r="F45" s="31">
        <v>100.0</v>
      </c>
      <c r="G45" s="32">
        <v>1.0</v>
      </c>
      <c r="H45" s="33">
        <f t="shared" si="1"/>
        <v>100</v>
      </c>
      <c r="I45" s="30"/>
    </row>
    <row r="46" ht="15.0" customHeight="1">
      <c r="A46" s="30" t="s">
        <v>53</v>
      </c>
      <c r="E46" s="18"/>
      <c r="F46" s="34">
        <v>250.0</v>
      </c>
      <c r="G46" s="32">
        <v>1.0</v>
      </c>
      <c r="H46" s="33">
        <f t="shared" si="1"/>
        <v>250</v>
      </c>
      <c r="I46" s="30"/>
    </row>
    <row r="47" ht="15.0" customHeight="1">
      <c r="A47" s="30" t="s">
        <v>54</v>
      </c>
      <c r="E47" s="18"/>
      <c r="F47" s="31">
        <v>250.0</v>
      </c>
      <c r="G47" s="32">
        <v>2.0</v>
      </c>
      <c r="H47" s="33">
        <f t="shared" si="1"/>
        <v>500</v>
      </c>
      <c r="I47" s="30"/>
    </row>
    <row r="48" ht="15.0" customHeight="1">
      <c r="A48" s="30" t="s">
        <v>55</v>
      </c>
      <c r="E48" s="18"/>
      <c r="F48" s="27"/>
      <c r="G48" s="28"/>
      <c r="H48" s="33">
        <f t="shared" si="1"/>
        <v>0</v>
      </c>
      <c r="I48" s="12"/>
    </row>
    <row r="49" ht="15.0" customHeight="1">
      <c r="A49" s="30" t="s">
        <v>56</v>
      </c>
      <c r="E49" s="18"/>
      <c r="F49" s="34">
        <v>6.5</v>
      </c>
      <c r="G49" s="32">
        <v>80.75</v>
      </c>
      <c r="H49" s="33">
        <f t="shared" si="1"/>
        <v>524.875</v>
      </c>
      <c r="I49" s="30"/>
    </row>
    <row r="50" ht="15.0" customHeight="1">
      <c r="A50" s="30" t="s">
        <v>57</v>
      </c>
      <c r="E50" s="18"/>
      <c r="F50" s="27"/>
      <c r="G50" s="28"/>
      <c r="H50" s="33">
        <f t="shared" si="1"/>
        <v>0</v>
      </c>
      <c r="I50" s="12"/>
    </row>
    <row r="51" ht="15.0" customHeight="1">
      <c r="A51" s="30" t="s">
        <v>58</v>
      </c>
      <c r="E51" s="18"/>
      <c r="F51" s="34">
        <v>4.9</v>
      </c>
      <c r="G51" s="32">
        <v>30.0</v>
      </c>
      <c r="H51" s="33">
        <f t="shared" si="1"/>
        <v>147</v>
      </c>
      <c r="I51" s="30"/>
    </row>
    <row r="52" ht="15.0" customHeight="1">
      <c r="A52" s="30" t="s">
        <v>59</v>
      </c>
      <c r="E52" s="18"/>
      <c r="F52" s="34">
        <v>2.5</v>
      </c>
      <c r="G52" s="32">
        <v>30.0</v>
      </c>
      <c r="H52" s="33">
        <f t="shared" si="1"/>
        <v>75</v>
      </c>
      <c r="I52" s="30"/>
    </row>
    <row r="53" ht="15.0" customHeight="1">
      <c r="A53" s="30" t="s">
        <v>60</v>
      </c>
      <c r="E53" s="18"/>
      <c r="F53" s="27"/>
      <c r="G53" s="28"/>
      <c r="H53" s="33">
        <f t="shared" si="1"/>
        <v>0</v>
      </c>
      <c r="I53" s="12"/>
    </row>
    <row r="54" ht="15.0" customHeight="1">
      <c r="A54" s="30" t="s">
        <v>61</v>
      </c>
      <c r="E54" s="18"/>
      <c r="F54" s="34">
        <v>4.6</v>
      </c>
      <c r="G54" s="32">
        <v>42.5</v>
      </c>
      <c r="H54" s="33">
        <f t="shared" si="1"/>
        <v>195.5</v>
      </c>
      <c r="I54" s="30"/>
    </row>
    <row r="55" ht="15.0" customHeight="1">
      <c r="A55" s="30" t="s">
        <v>62</v>
      </c>
      <c r="E55" s="18"/>
      <c r="F55" s="34">
        <v>2.5</v>
      </c>
      <c r="G55" s="32">
        <v>42.5</v>
      </c>
      <c r="H55" s="33">
        <f t="shared" si="1"/>
        <v>106.25</v>
      </c>
      <c r="I55" s="30"/>
    </row>
    <row r="56" ht="15.0" customHeight="1">
      <c r="A56" s="30" t="s">
        <v>63</v>
      </c>
      <c r="E56" s="18"/>
      <c r="F56" s="34">
        <v>45.0</v>
      </c>
      <c r="G56" s="32">
        <v>16.25</v>
      </c>
      <c r="H56" s="33">
        <f t="shared" si="1"/>
        <v>731.25</v>
      </c>
      <c r="I56" s="30"/>
    </row>
    <row r="57" ht="15.0" customHeight="1">
      <c r="A57" s="30" t="s">
        <v>64</v>
      </c>
      <c r="E57" s="18"/>
      <c r="F57" s="34">
        <v>14.0</v>
      </c>
      <c r="G57" s="32">
        <v>106.0</v>
      </c>
      <c r="H57" s="33">
        <f t="shared" si="1"/>
        <v>1484</v>
      </c>
      <c r="I57" s="30"/>
    </row>
    <row r="58" ht="15.0" customHeight="1">
      <c r="A58" s="36" t="s">
        <v>45</v>
      </c>
      <c r="E58" s="18"/>
      <c r="F58" s="31">
        <v>2.5</v>
      </c>
      <c r="G58" s="35">
        <v>106.0</v>
      </c>
      <c r="H58" s="33">
        <f t="shared" si="1"/>
        <v>265</v>
      </c>
      <c r="I58" s="30"/>
    </row>
    <row r="59" ht="15.0" customHeight="1">
      <c r="A59" s="30" t="s">
        <v>42</v>
      </c>
      <c r="E59" s="18"/>
      <c r="F59" s="31">
        <v>100.0</v>
      </c>
      <c r="G59" s="35">
        <v>1.0</v>
      </c>
      <c r="H59" s="33">
        <f t="shared" si="1"/>
        <v>100</v>
      </c>
      <c r="I59" s="30"/>
    </row>
    <row r="60" ht="15.0" customHeight="1">
      <c r="A60" s="30" t="s">
        <v>65</v>
      </c>
      <c r="E60" s="18"/>
      <c r="F60" s="34">
        <v>100.0</v>
      </c>
      <c r="G60" s="32">
        <v>1.0</v>
      </c>
      <c r="H60" s="33">
        <f t="shared" si="1"/>
        <v>100</v>
      </c>
      <c r="I60" s="30"/>
    </row>
    <row r="61" ht="15.0" customHeight="1">
      <c r="A61" s="30" t="s">
        <v>54</v>
      </c>
      <c r="E61" s="18"/>
      <c r="F61" s="31">
        <v>250.0</v>
      </c>
      <c r="G61" s="32">
        <v>2.0</v>
      </c>
      <c r="H61" s="33">
        <f t="shared" si="1"/>
        <v>500</v>
      </c>
      <c r="I61" s="30"/>
    </row>
    <row r="62" ht="15.0" customHeight="1">
      <c r="A62" s="30" t="s">
        <v>66</v>
      </c>
      <c r="E62" s="18"/>
      <c r="F62" s="27"/>
      <c r="G62" s="28"/>
      <c r="H62" s="33">
        <f t="shared" si="1"/>
        <v>0</v>
      </c>
      <c r="I62" s="12"/>
    </row>
    <row r="63" ht="15.0" customHeight="1">
      <c r="A63" s="30" t="s">
        <v>67</v>
      </c>
      <c r="E63" s="18"/>
      <c r="F63" s="34">
        <v>4.9</v>
      </c>
      <c r="G63" s="32">
        <v>35.0</v>
      </c>
      <c r="H63" s="33">
        <f t="shared" si="1"/>
        <v>171.5</v>
      </c>
      <c r="I63" s="30"/>
    </row>
    <row r="64" ht="15.0" customHeight="1">
      <c r="A64" s="30" t="s">
        <v>59</v>
      </c>
      <c r="E64" s="18"/>
      <c r="F64" s="34">
        <v>2.5</v>
      </c>
      <c r="G64" s="32">
        <v>35.0</v>
      </c>
      <c r="H64" s="33">
        <f t="shared" si="1"/>
        <v>87.5</v>
      </c>
      <c r="I64" s="30"/>
    </row>
    <row r="65" ht="15.0" customHeight="1">
      <c r="A65" s="30" t="s">
        <v>68</v>
      </c>
      <c r="E65" s="18"/>
      <c r="F65" s="34">
        <v>14.0</v>
      </c>
      <c r="G65" s="32">
        <v>95.0</v>
      </c>
      <c r="H65" s="33">
        <f t="shared" si="1"/>
        <v>1330</v>
      </c>
      <c r="I65" s="30"/>
    </row>
    <row r="66" ht="15.0" customHeight="1">
      <c r="A66" s="36" t="s">
        <v>45</v>
      </c>
      <c r="E66" s="18"/>
      <c r="F66" s="31">
        <v>2.5</v>
      </c>
      <c r="G66" s="35">
        <v>95.0</v>
      </c>
      <c r="H66" s="33">
        <f t="shared" si="1"/>
        <v>237.5</v>
      </c>
      <c r="I66" s="30"/>
    </row>
    <row r="67" ht="15.0" customHeight="1">
      <c r="A67" s="30" t="s">
        <v>69</v>
      </c>
      <c r="E67" s="18"/>
      <c r="F67" s="31">
        <v>250.0</v>
      </c>
      <c r="G67" s="35">
        <v>1.0</v>
      </c>
      <c r="H67" s="33">
        <f t="shared" si="1"/>
        <v>250</v>
      </c>
      <c r="I67" s="30"/>
    </row>
    <row r="68" ht="15.0" customHeight="1">
      <c r="A68" s="30" t="s">
        <v>70</v>
      </c>
      <c r="E68" s="18"/>
      <c r="F68" s="27"/>
      <c r="G68" s="28"/>
      <c r="H68" s="33">
        <f t="shared" si="1"/>
        <v>0</v>
      </c>
      <c r="I68" s="30"/>
    </row>
    <row r="69" ht="15.0" customHeight="1">
      <c r="A69" s="30" t="s">
        <v>71</v>
      </c>
      <c r="E69" s="18"/>
      <c r="F69" s="34">
        <v>6.5</v>
      </c>
      <c r="G69" s="32">
        <v>186.0</v>
      </c>
      <c r="H69" s="33">
        <f t="shared" si="1"/>
        <v>1209</v>
      </c>
      <c r="I69" s="30"/>
    </row>
    <row r="70" ht="15.0" customHeight="1">
      <c r="A70" s="30" t="s">
        <v>72</v>
      </c>
      <c r="E70" s="18"/>
      <c r="F70" s="34">
        <v>6.5</v>
      </c>
      <c r="G70" s="32">
        <v>246.5</v>
      </c>
      <c r="H70" s="33">
        <f t="shared" si="1"/>
        <v>1602.25</v>
      </c>
      <c r="I70" s="30"/>
    </row>
    <row r="71" ht="15.0" customHeight="1">
      <c r="A71" s="30" t="s">
        <v>73</v>
      </c>
      <c r="E71" s="18"/>
      <c r="F71" s="27"/>
      <c r="G71" s="28"/>
      <c r="H71" s="41"/>
      <c r="I71" s="12"/>
    </row>
    <row r="72" ht="15.0" customHeight="1">
      <c r="A72" s="30" t="s">
        <v>74</v>
      </c>
      <c r="E72" s="18"/>
      <c r="F72" s="31">
        <v>14.0</v>
      </c>
      <c r="G72" s="32">
        <v>150.0</v>
      </c>
      <c r="H72" s="33">
        <f>F72*G72</f>
        <v>2100</v>
      </c>
      <c r="I72" s="30"/>
    </row>
    <row r="73" ht="15.0" customHeight="1">
      <c r="A73" s="30" t="s">
        <v>75</v>
      </c>
      <c r="E73" s="18"/>
      <c r="F73" s="42">
        <v>30.0</v>
      </c>
      <c r="G73" s="43">
        <v>6.0</v>
      </c>
      <c r="H73" s="44">
        <f>G73*F73</f>
        <v>180</v>
      </c>
      <c r="I73" s="30"/>
    </row>
    <row r="74" ht="15.0" customHeight="1">
      <c r="A74" s="30" t="s">
        <v>76</v>
      </c>
      <c r="E74" s="18"/>
      <c r="F74" s="42">
        <v>40.0</v>
      </c>
      <c r="G74" s="43">
        <v>48.0</v>
      </c>
      <c r="H74" s="44">
        <f t="shared" ref="H74:H75" si="2">F74*G74</f>
        <v>1920</v>
      </c>
      <c r="I74" s="30"/>
    </row>
    <row r="75" ht="15.0" customHeight="1">
      <c r="A75" s="45" t="s">
        <v>77</v>
      </c>
      <c r="B75" s="20"/>
      <c r="C75" s="20"/>
      <c r="D75" s="20"/>
      <c r="E75" s="21"/>
      <c r="F75" s="46">
        <v>70.0</v>
      </c>
      <c r="G75" s="47">
        <v>15.0</v>
      </c>
      <c r="H75" s="48">
        <f t="shared" si="2"/>
        <v>1050</v>
      </c>
      <c r="I75" s="30"/>
    </row>
    <row r="76" ht="15.0" customHeight="1">
      <c r="A76" s="49"/>
      <c r="E76" s="18"/>
      <c r="F76" s="41"/>
      <c r="G76" s="41"/>
      <c r="H76" s="41"/>
      <c r="I76" s="12"/>
    </row>
    <row r="77">
      <c r="A77" s="50"/>
      <c r="E77" s="18"/>
      <c r="F77" s="41"/>
      <c r="G77" s="41"/>
      <c r="H77" s="41"/>
      <c r="I77" s="12"/>
    </row>
    <row r="78">
      <c r="A78" s="50"/>
      <c r="E78" s="18"/>
      <c r="F78" s="51"/>
      <c r="G78" s="51"/>
      <c r="H78" s="51"/>
      <c r="I78" s="12"/>
    </row>
    <row r="79">
      <c r="A79" s="50"/>
      <c r="E79" s="18"/>
      <c r="F79" s="51"/>
      <c r="G79" s="51"/>
      <c r="H79" s="41"/>
      <c r="I79" s="12"/>
    </row>
    <row r="80">
      <c r="A80" s="50"/>
      <c r="E80" s="18"/>
      <c r="F80" s="41"/>
      <c r="G80" s="41"/>
      <c r="H80" s="41"/>
      <c r="I80" s="12"/>
    </row>
    <row r="81">
      <c r="A81" s="52"/>
      <c r="B81" s="20"/>
      <c r="C81" s="20"/>
      <c r="D81" s="20"/>
      <c r="E81" s="21"/>
      <c r="F81" s="53" t="s">
        <v>78</v>
      </c>
      <c r="G81" s="11"/>
      <c r="H81" s="54">
        <f>SUM(H14:H80)</f>
        <v>48074.65</v>
      </c>
      <c r="I81" s="12"/>
    </row>
    <row r="82" ht="12.75" customHeight="1">
      <c r="D82" s="41"/>
      <c r="E82" s="55"/>
      <c r="F82" s="56"/>
      <c r="G82" s="22"/>
      <c r="H82" s="57"/>
      <c r="I82" s="12"/>
    </row>
    <row r="83" ht="23.25" customHeight="1">
      <c r="D83" s="41"/>
      <c r="E83" s="55" t="s">
        <v>79</v>
      </c>
      <c r="F83" s="56"/>
      <c r="G83" s="22"/>
      <c r="H83" s="58">
        <v>29037.0</v>
      </c>
      <c r="I83" s="12"/>
    </row>
    <row r="84" ht="24.75" customHeight="1">
      <c r="A84" s="16"/>
      <c r="B84" s="16"/>
      <c r="C84" s="16"/>
      <c r="D84" s="29"/>
      <c r="E84" s="59" t="s">
        <v>80</v>
      </c>
      <c r="F84" s="10"/>
      <c r="G84" s="22"/>
      <c r="H84" s="60" t="s">
        <v>81</v>
      </c>
      <c r="I84" s="12"/>
    </row>
    <row r="85" ht="12.75" customHeight="1">
      <c r="E85" s="16"/>
      <c r="F85" s="16"/>
      <c r="G85" s="16"/>
      <c r="H85" s="16"/>
    </row>
    <row r="86" ht="12.75" customHeight="1">
      <c r="A86" s="3" t="s">
        <v>82</v>
      </c>
    </row>
    <row r="87" ht="12.75" customHeight="1">
      <c r="A87" s="3" t="s">
        <v>83</v>
      </c>
    </row>
    <row r="88" ht="12.75" customHeight="1">
      <c r="A88" s="3" t="s">
        <v>84</v>
      </c>
    </row>
    <row r="89" ht="12.75" customHeight="1"/>
    <row r="90" ht="12.75" customHeight="1">
      <c r="A90" s="61" t="s">
        <v>85</v>
      </c>
    </row>
    <row r="91" ht="12.75" customHeight="1">
      <c r="A91" s="62" t="s">
        <v>86</v>
      </c>
    </row>
    <row r="92" ht="12.75" customHeight="1">
      <c r="A92" s="62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</sheetData>
  <mergeCells count="91"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E84:F84"/>
    <mergeCell ref="A86:E86"/>
    <mergeCell ref="A87:E87"/>
    <mergeCell ref="A88:E88"/>
    <mergeCell ref="A90:H90"/>
    <mergeCell ref="A91:H91"/>
    <mergeCell ref="A92:G92"/>
    <mergeCell ref="A76:E76"/>
    <mergeCell ref="A77:E77"/>
    <mergeCell ref="A78:E78"/>
    <mergeCell ref="A79:E79"/>
    <mergeCell ref="A80:E80"/>
    <mergeCell ref="A81:E81"/>
    <mergeCell ref="F81:G81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