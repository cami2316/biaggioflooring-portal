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<sst xmlns="http://schemas.openxmlformats.org/spreadsheetml/2006/main" count="47" uniqueCount="47">
  <si>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</si>
  <si>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</si>
  <si>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</si>
  <si>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</si>
  <si>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</si>
  <si>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</si>
  <si>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</si>
  <si>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</si>
  <si>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</si>
  <si>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</si>
  <si>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DEV01</t>
  </si>
  <si>
    <t>Customer Information</t>
  </si>
  <si>
    <t>Name:</t>
  </si>
  <si>
    <t>Devon Lachney</t>
  </si>
  <si>
    <t>Phone:</t>
  </si>
  <si>
    <t>Address:</t>
  </si>
  <si>
    <t>Cell:</t>
  </si>
  <si>
    <t>City, St. Zip:</t>
  </si>
  <si>
    <t>Email:</t>
  </si>
  <si>
    <t>Description</t>
  </si>
  <si>
    <t>Qty</t>
  </si>
  <si>
    <t>Price</t>
  </si>
  <si>
    <t>Amount</t>
  </si>
  <si>
    <t>Bathroom</t>
  </si>
  <si>
    <t>demo walls</t>
  </si>
  <si>
    <t>instalation of cement board labor only</t>
  </si>
  <si>
    <t>instalation of porcelain basic tile up to 12x24 labor only</t>
  </si>
  <si>
    <t xml:space="preserve">niche on bathroom  ( labor only) 250 </t>
  </si>
  <si>
    <t xml:space="preserve"> mosaic band on bathroom ( labor only) 350 </t>
  </si>
  <si>
    <t>\</t>
  </si>
  <si>
    <t>remove bathtub ( trash disposal not inclued)</t>
  </si>
  <si>
    <t>make curb / prepare walking shower</t>
  </si>
  <si>
    <t xml:space="preserve">shower floor </t>
  </si>
  <si>
    <t xml:space="preserve"> removal Toilets (1)  ** wiil not be reinstalled and toilet</t>
  </si>
  <si>
    <t>Bench  150</t>
  </si>
  <si>
    <t>demo floor</t>
  </si>
  <si>
    <t>install</t>
  </si>
  <si>
    <t>floor prep  grinder hour =$60/hour self level $ 30/bag</t>
  </si>
  <si>
    <t>labor only</t>
  </si>
  <si>
    <t>Subtotal</t>
  </si>
  <si>
    <t>paid</t>
  </si>
  <si>
    <t>Total  please pay at 12/08</t>
  </si>
  <si>
    <t xml:space="preserve">Terms: 40% due to order/schedule. Balance due upon completion    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</si>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</sst>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0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name val="Arial"/>
    </font>
    <font>
      <b/>
      <sz val="12.0"/>
    </font>
    <font>
      <b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13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vertical="bottom" wrapText="1"/>
    </xf>
    <xf borderId="9" fillId="0" fontId="7" numFmtId="0" xfId="0" applyAlignment="1" applyBorder="1" applyFont="1">
      <alignment horizontal="right" readingOrder="0" shrinkToFit="0" vertical="bottom" wrapText="1"/>
    </xf>
    <xf borderId="9" fillId="0" fontId="7" numFmtId="0" xfId="0" applyAlignment="1" applyBorder="1" applyFont="1">
      <alignment horizontal="right" shrinkToFit="0" vertical="bottom" wrapText="1"/>
    </xf>
    <xf borderId="9" fillId="0" fontId="7" numFmtId="0" xfId="0" applyAlignment="1" applyBorder="1" applyFont="1">
      <alignment horizontal="right" shrinkToFit="0" vertical="bottom" wrapText="1"/>
    </xf>
    <xf borderId="5" fillId="0" fontId="7" numFmtId="0" xfId="0" applyAlignment="1" applyBorder="1" applyFont="1">
      <alignment shrinkToFit="0" vertical="bottom" wrapText="1"/>
    </xf>
    <xf borderId="9" fillId="0" fontId="7" numFmtId="0" xfId="0" applyAlignment="1" applyBorder="1" applyFont="1">
      <alignment readingOrder="0" shrinkToFit="0" vertical="bottom" wrapText="1"/>
    </xf>
    <xf borderId="9" fillId="0" fontId="7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9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shrinkToFit="0" wrapText="1"/>
    </xf>
    <xf borderId="10" fillId="3" fontId="8" numFmtId="0" xfId="0" applyAlignment="1" applyBorder="1" applyFill="1" applyFont="1">
      <alignment readingOrder="0" shrinkToFit="0" wrapText="1"/>
    </xf>
    <xf borderId="2" fillId="3" fontId="8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4" xfId="0" applyAlignment="1" applyBorder="1" applyFont="1" applyNumberFormat="1">
      <alignment readingOrder="0" shrinkToFit="0" wrapText="1"/>
    </xf>
    <xf borderId="4" fillId="3" fontId="9" numFmtId="4" xfId="0" applyAlignment="1" applyBorder="1" applyFont="1" applyNumberForma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43901.0</v>
      </c>
    </row>
    <row r="3">
      <c r="A3" s="3" t="s">
        <v>4</v>
      </c>
      <c r="F3" s="4" t="s">
        <v>5</v>
      </c>
      <c r="H3" s="3">
        <v>2008.0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F11" s="18" t="s">
        <v>16</v>
      </c>
      <c r="G11" s="19"/>
      <c r="H11" s="20"/>
      <c r="I11" s="11"/>
    </row>
    <row r="12">
      <c r="A12" s="21" t="s">
        <v>17</v>
      </c>
      <c r="B12" s="7"/>
      <c r="C12" s="7"/>
      <c r="D12" s="7"/>
      <c r="E12" s="7"/>
      <c r="F12" s="22" t="s">
        <v>18</v>
      </c>
      <c r="G12" s="7"/>
      <c r="H12" s="23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4" t="s">
        <v>19</v>
      </c>
      <c r="B14" s="9"/>
      <c r="C14" s="9"/>
      <c r="D14" s="9"/>
      <c r="E14" s="9"/>
      <c r="F14" s="25" t="s">
        <v>20</v>
      </c>
      <c r="G14" s="25" t="s">
        <v>21</v>
      </c>
      <c r="H14" s="26" t="s">
        <v>22</v>
      </c>
      <c r="I14" s="11"/>
    </row>
    <row r="15" ht="15.0" customHeight="1">
      <c r="A15" s="27" t="s">
        <v>23</v>
      </c>
      <c r="E15" s="20"/>
      <c r="F15" s="28"/>
      <c r="G15" s="29"/>
      <c r="H15" s="30"/>
    </row>
    <row r="16" ht="15.0" customHeight="1">
      <c r="A16" s="31" t="s">
        <v>24</v>
      </c>
      <c r="E16" s="20"/>
      <c r="F16" s="28">
        <v>85.0</v>
      </c>
      <c r="G16" s="29">
        <v>4.0</v>
      </c>
      <c r="H16" s="30">
        <f t="shared" ref="H16:H18" si="1">G16*F16</f>
        <v>340</v>
      </c>
    </row>
    <row r="17" ht="15.0" customHeight="1">
      <c r="A17" s="27" t="s">
        <v>25</v>
      </c>
      <c r="E17" s="20"/>
      <c r="F17" s="28">
        <v>85.0</v>
      </c>
      <c r="G17" s="29">
        <v>2.5</v>
      </c>
      <c r="H17" s="30">
        <f t="shared" si="1"/>
        <v>212.5</v>
      </c>
    </row>
    <row r="18" ht="15.0" customHeight="1">
      <c r="A18" s="27" t="s">
        <v>26</v>
      </c>
      <c r="E18" s="20"/>
      <c r="F18" s="28">
        <v>85.0</v>
      </c>
      <c r="G18" s="28">
        <v>10.0</v>
      </c>
      <c r="H18" s="30">
        <f t="shared" si="1"/>
        <v>850</v>
      </c>
    </row>
    <row r="19" ht="15.0" customHeight="1">
      <c r="A19" s="27" t="s">
        <v>27</v>
      </c>
      <c r="E19" s="20"/>
      <c r="F19" s="32">
        <v>1.0</v>
      </c>
      <c r="G19" s="32">
        <v>250.0</v>
      </c>
      <c r="H19" s="32">
        <v>250.0</v>
      </c>
    </row>
    <row r="20" ht="15.0" customHeight="1">
      <c r="A20" s="27" t="s">
        <v>28</v>
      </c>
      <c r="E20" s="20"/>
      <c r="F20" s="32">
        <v>1.0</v>
      </c>
      <c r="G20" s="32"/>
      <c r="H20" s="32">
        <v>350.0</v>
      </c>
      <c r="L20" s="3" t="s">
        <v>29</v>
      </c>
    </row>
    <row r="21" ht="15.0" customHeight="1">
      <c r="A21" s="27" t="s">
        <v>30</v>
      </c>
      <c r="E21" s="20"/>
      <c r="F21" s="32">
        <v>1.0</v>
      </c>
      <c r="G21" s="32">
        <v>200.0</v>
      </c>
      <c r="H21" s="32">
        <v>200.0</v>
      </c>
    </row>
    <row r="22" ht="15.0" customHeight="1">
      <c r="A22" s="27" t="s">
        <v>31</v>
      </c>
      <c r="E22" s="20"/>
      <c r="F22" s="32">
        <v>1.0</v>
      </c>
      <c r="G22" s="32">
        <v>80.0</v>
      </c>
      <c r="H22" s="32">
        <v>80.0</v>
      </c>
    </row>
    <row r="23" ht="15.0" customHeight="1">
      <c r="A23" s="27" t="s">
        <v>32</v>
      </c>
      <c r="E23" s="20"/>
      <c r="F23" s="32">
        <v>15.0</v>
      </c>
      <c r="G23" s="32">
        <v>12.0</v>
      </c>
      <c r="H23" s="33">
        <f>G23*F23</f>
        <v>180</v>
      </c>
    </row>
    <row r="24" ht="15.0" customHeight="1">
      <c r="A24" s="34" t="s">
        <v>33</v>
      </c>
      <c r="E24" s="20"/>
      <c r="F24" s="35">
        <v>1.0</v>
      </c>
      <c r="G24" s="34">
        <v>25.0</v>
      </c>
      <c r="H24" s="36">
        <f>G24</f>
        <v>25</v>
      </c>
    </row>
    <row r="25" ht="15.0" customHeight="1">
      <c r="A25" s="27" t="s">
        <v>34</v>
      </c>
      <c r="E25" s="20"/>
      <c r="F25" s="32">
        <v>1.0</v>
      </c>
      <c r="G25" s="32">
        <v>150.0</v>
      </c>
      <c r="H25" s="32">
        <v>150.0</v>
      </c>
      <c r="I25" s="11"/>
    </row>
    <row r="26" ht="15.0" customHeight="1">
      <c r="A26" s="34" t="s">
        <v>35</v>
      </c>
      <c r="E26" s="20"/>
      <c r="F26" s="37">
        <v>94.0</v>
      </c>
      <c r="G26" s="37">
        <v>2.0</v>
      </c>
      <c r="H26" s="20">
        <f t="shared" ref="H26:H27" si="2">G26*F26</f>
        <v>188</v>
      </c>
      <c r="I26" s="11"/>
    </row>
    <row r="27" ht="15.0" customHeight="1">
      <c r="A27" s="34" t="s">
        <v>36</v>
      </c>
      <c r="E27" s="20"/>
      <c r="F27" s="37">
        <v>94.0</v>
      </c>
      <c r="G27" s="37">
        <v>3.4</v>
      </c>
      <c r="H27" s="20">
        <f t="shared" si="2"/>
        <v>319.6</v>
      </c>
      <c r="I27" s="11"/>
    </row>
    <row r="28" ht="15.0" customHeight="1">
      <c r="A28" s="34" t="s">
        <v>37</v>
      </c>
      <c r="E28" s="20"/>
      <c r="F28" s="38"/>
      <c r="G28" s="38"/>
      <c r="H28" s="20"/>
      <c r="I28" s="11"/>
    </row>
    <row r="29" ht="15.0" customHeight="1">
      <c r="A29" s="34" t="s">
        <v>38</v>
      </c>
      <c r="E29" s="20"/>
      <c r="F29" s="38"/>
      <c r="G29" s="38"/>
      <c r="H29" s="20"/>
      <c r="I29" s="11"/>
    </row>
    <row r="30" ht="15.0" customHeight="1">
      <c r="A30" s="34"/>
      <c r="E30" s="20"/>
      <c r="F30" s="12" t="s">
        <v>39</v>
      </c>
      <c r="G30" s="16"/>
      <c r="H30" s="36">
        <f>H16+H17+H18+H19+H20+H21+H22+H23+H24+H25+H26+H27</f>
        <v>3145.1</v>
      </c>
      <c r="I30" s="11"/>
    </row>
    <row r="31" ht="15.0" customHeight="1">
      <c r="A31" s="39"/>
      <c r="B31" s="7"/>
      <c r="C31" s="7"/>
      <c r="D31" s="7"/>
      <c r="E31" s="23"/>
      <c r="F31" s="40"/>
      <c r="G31" s="23"/>
      <c r="H31" s="41"/>
      <c r="I31" s="11"/>
    </row>
    <row r="32">
      <c r="D32" s="20"/>
      <c r="E32" s="42" t="s">
        <v>40</v>
      </c>
      <c r="F32" s="43"/>
      <c r="G32" s="44"/>
      <c r="H32" s="45">
        <v>1000.0</v>
      </c>
      <c r="I32" s="11"/>
    </row>
    <row r="33">
      <c r="D33" s="20"/>
      <c r="E33" s="43" t="s">
        <v>41</v>
      </c>
      <c r="F33" s="9"/>
      <c r="G33" s="44"/>
      <c r="H33" s="46">
        <f>3145.1-H32</f>
        <v>2145.1</v>
      </c>
      <c r="I33" s="11"/>
    </row>
    <row r="34">
      <c r="A34" s="3" t="s">
        <v>42</v>
      </c>
    </row>
    <row r="35">
      <c r="A35" s="3" t="s">
        <v>43</v>
      </c>
    </row>
    <row r="36">
      <c r="A36" s="3" t="s">
        <v>44</v>
      </c>
    </row>
    <row r="38">
      <c r="A38" s="47" t="s">
        <v>45</v>
      </c>
    </row>
    <row r="39">
      <c r="A39" s="48" t="s">
        <v>46</v>
      </c>
    </row>
    <row r="40">
      <c r="A40" s="49"/>
    </row>
  </sheetData>
  <mergeCells count="42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E33:F33"/>
    <mergeCell ref="A34:E34"/>
    <mergeCell ref="A35:E35"/>
    <mergeCell ref="A36:E36"/>
    <mergeCell ref="A38:H38"/>
    <mergeCell ref="A39:H39"/>
    <mergeCell ref="A40:G40"/>
    <mergeCell ref="A27:E27"/>
    <mergeCell ref="A28:E28"/>
    <mergeCell ref="A29:E29"/>
    <mergeCell ref="A30:E30"/>
    <mergeCell ref="F30:G31"/>
    <mergeCell ref="H30:H31"/>
    <mergeCell ref="A31:E31"/>
  </mergeCells>
  <drawing r:id="rId1"/>
</worksheet>
</file>