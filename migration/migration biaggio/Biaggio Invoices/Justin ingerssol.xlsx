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<sst xmlns="http://schemas.openxmlformats.org/spreadsheetml/2006/main" count="39" uniqueCount="39">
  <si>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</si>
  <si>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</si>
  <si>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</si>
  <si>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</si>
  <si>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</si>
  <si>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</si>
  <si>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</si>
  <si>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</si>
  <si>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</si>
  <si>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</si>
  <si>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JI01</t>
  </si>
  <si>
    <t>Customer Information</t>
  </si>
  <si>
    <t>Name:</t>
  </si>
  <si>
    <t>Justin Ingerssol</t>
  </si>
  <si>
    <t>Phone:</t>
  </si>
  <si>
    <t>Address:</t>
  </si>
  <si>
    <t>Cell:</t>
  </si>
  <si>
    <t>City, St. Zip:</t>
  </si>
  <si>
    <t>Winter Garden</t>
  </si>
  <si>
    <t>Email:</t>
  </si>
  <si>
    <t>Description</t>
  </si>
  <si>
    <t>Qty</t>
  </si>
  <si>
    <t>Price</t>
  </si>
  <si>
    <t>Amount</t>
  </si>
  <si>
    <t>demo. tile(  trash disposal not included)</t>
  </si>
  <si>
    <t>basic installation ceramic tile floor ( woodlook  up 48inchs or up to 24x24) labot only</t>
  </si>
  <si>
    <t>baseboard  install  labor only ( we will measure at the end of the job @2.3 / sqft)</t>
  </si>
  <si>
    <t>remove and reinstall toilet 80.00 / per toilet ( will be add by the end of the job)</t>
  </si>
  <si>
    <t>prep floor  grinder $60/ hour</t>
  </si>
  <si>
    <t>self level $30.00/ bag  application (self level bag not included)</t>
  </si>
  <si>
    <t>Subtotal</t>
  </si>
  <si>
    <t>carpet Tack Strip = if was left over we will charge $200.00 or $0.5/ sqft if were more than 400 sqft</t>
  </si>
  <si>
    <t>WE DONT PROVIDE TRASH DISPOSAL But you can cal l407 3606732  they will put a dumpster in your driveway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</si>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</sst>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43901.0</v>
      </c>
    </row>
    <row r="3">
      <c r="A3" s="3" t="s">
        <v>4</v>
      </c>
      <c r="F3" s="6" t="s">
        <v>5</v>
      </c>
      <c r="H3" s="3">
        <v>2007.0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B15" s="15"/>
      <c r="C15" s="15"/>
      <c r="D15" s="15"/>
      <c r="E15" s="17"/>
      <c r="F15" s="29">
        <v>1100.0</v>
      </c>
      <c r="G15" s="29">
        <v>1.8</v>
      </c>
      <c r="H15" s="30">
        <f>G15*F15</f>
        <v>1980</v>
      </c>
      <c r="I15" s="12"/>
    </row>
    <row r="16" ht="15.0" customHeight="1">
      <c r="A16" s="31" t="s">
        <v>25</v>
      </c>
      <c r="E16" s="21"/>
      <c r="F16" s="32">
        <v>2200.0</v>
      </c>
      <c r="G16" s="32">
        <v>3.4</v>
      </c>
      <c r="H16" s="33">
        <f>F16*G16</f>
        <v>7480</v>
      </c>
      <c r="I16" s="12"/>
    </row>
    <row r="17" ht="15.0" customHeight="1">
      <c r="A17" s="31" t="s">
        <v>26</v>
      </c>
      <c r="E17" s="21"/>
      <c r="F17" s="32"/>
      <c r="G17" s="32">
        <v>2.5</v>
      </c>
      <c r="H17" s="32">
        <f>G17*F17</f>
        <v>0</v>
      </c>
      <c r="I17" s="12"/>
    </row>
    <row r="18" ht="15.0" customHeight="1">
      <c r="A18" s="31" t="s">
        <v>27</v>
      </c>
      <c r="E18" s="21"/>
      <c r="F18" s="32"/>
      <c r="G18" s="32"/>
      <c r="H18" s="32"/>
      <c r="I18" s="12"/>
    </row>
    <row r="19" ht="15.0" customHeight="1">
      <c r="A19" s="31" t="s">
        <v>28</v>
      </c>
      <c r="E19" s="21"/>
      <c r="F19" s="32"/>
      <c r="G19" s="32"/>
      <c r="H19" s="32"/>
      <c r="I19" s="12"/>
    </row>
    <row r="20" ht="15.0" customHeight="1">
      <c r="A20" s="31" t="s">
        <v>29</v>
      </c>
      <c r="E20" s="21"/>
      <c r="F20" s="34" t="s">
        <v>30</v>
      </c>
      <c r="G20" s="11"/>
      <c r="H20" s="33">
        <f>H15+H16</f>
        <v>9460</v>
      </c>
      <c r="I20" s="12"/>
    </row>
    <row r="21" ht="15.0" customHeight="1">
      <c r="A21" s="35" t="s">
        <v>31</v>
      </c>
      <c r="B21" s="8"/>
      <c r="C21" s="8"/>
      <c r="D21" s="8"/>
      <c r="E21" s="25"/>
      <c r="F21" s="36"/>
      <c r="G21" s="11"/>
      <c r="H21" s="37"/>
      <c r="I21" s="12"/>
    </row>
    <row r="22" ht="15.0" customHeight="1">
      <c r="A22" s="23" t="s">
        <v>32</v>
      </c>
      <c r="B22" s="8"/>
      <c r="C22" s="8"/>
      <c r="D22" s="8"/>
      <c r="E22" s="8"/>
      <c r="F22" s="36"/>
      <c r="G22" s="38"/>
      <c r="H22" s="39"/>
      <c r="I22" s="12"/>
    </row>
    <row r="23">
      <c r="A23" s="15"/>
      <c r="B23" s="15"/>
      <c r="C23" s="15"/>
      <c r="D23" s="17"/>
      <c r="E23" s="40" t="s">
        <v>33</v>
      </c>
      <c r="F23" s="10"/>
      <c r="G23" s="41"/>
      <c r="H23" s="42">
        <f>H20-H21</f>
        <v>9460</v>
      </c>
      <c r="I23" s="12"/>
    </row>
    <row r="24">
      <c r="E24" s="14"/>
      <c r="F24" s="15"/>
      <c r="G24" s="15"/>
      <c r="H24" s="15"/>
    </row>
    <row r="25">
      <c r="A25" s="3" t="s">
        <v>34</v>
      </c>
    </row>
    <row r="26">
      <c r="A26" s="3" t="s">
        <v>35</v>
      </c>
    </row>
    <row r="27">
      <c r="A27" s="3" t="s">
        <v>36</v>
      </c>
    </row>
    <row r="29">
      <c r="A29" s="43" t="s">
        <v>37</v>
      </c>
    </row>
    <row r="30">
      <c r="A30" s="44" t="s">
        <v>38</v>
      </c>
    </row>
    <row r="31">
      <c r="A31" s="45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F20:G20"/>
    <mergeCell ref="A21:E21"/>
    <mergeCell ref="F21:G21"/>
    <mergeCell ref="A22:E22"/>
    <mergeCell ref="E23:F23"/>
    <mergeCell ref="A25:E25"/>
  </mergeCells>
  <drawing r:id="rId1"/>
</worksheet>
</file>