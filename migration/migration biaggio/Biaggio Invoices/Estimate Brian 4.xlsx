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hidden" name="Sheet2" sheetId="3" r:id="rId6"/>
  </sheets>
  <definedNames/>
  <calcPr/>
</workbook>
</file>

<file path=xl/sharedStrings.xml><?xml version="1.0" encoding="utf-8"?>
<sst xmlns="http://schemas.openxmlformats.org/spreadsheetml/2006/main" count="64" uniqueCount="61">
  <si>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</si>
  <si>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</si>
  <si>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</si>
  <si>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</si>
  <si>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</si>
  <si>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</si>
  <si>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</si>
  <si>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</si>
  <si>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</si>
  <si>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</si>
  <si>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Brian03</t>
  </si>
  <si>
    <t>Customer Information</t>
  </si>
  <si>
    <t>Name:</t>
  </si>
  <si>
    <t xml:space="preserve">Brian </t>
  </si>
  <si>
    <t>Phone:</t>
  </si>
  <si>
    <t>Address:</t>
  </si>
  <si>
    <t>8209 Courtleight</t>
  </si>
  <si>
    <t>Cell:</t>
  </si>
  <si>
    <t>City, St. Zip:</t>
  </si>
  <si>
    <t>Email:</t>
  </si>
  <si>
    <t>Description ( labor only'")</t>
  </si>
  <si>
    <t>Qty</t>
  </si>
  <si>
    <t>Price</t>
  </si>
  <si>
    <t>Amount</t>
  </si>
  <si>
    <t>demo  shower floor</t>
  </si>
  <si>
    <t>demo curb</t>
  </si>
  <si>
    <t xml:space="preserve">shower floor  install and mudbed simple ceramic tile  up to </t>
  </si>
  <si>
    <t>walking shower prep and install fee ( concret demo not included )</t>
  </si>
  <si>
    <t>glass box removal</t>
  </si>
  <si>
    <t>wall demo ( glass window not included, a  specialized company will be called if needed)</t>
  </si>
  <si>
    <t xml:space="preserve">cemente board  </t>
  </si>
  <si>
    <t>wall install  simple tile installation( add 4 per sqft  for marble) up to 24X24</t>
  </si>
  <si>
    <t>work around window</t>
  </si>
  <si>
    <t>floor demo</t>
  </si>
  <si>
    <t>floor install simple tile install ( add 2 per sqft for marble)up to 24X24</t>
  </si>
  <si>
    <t>baseboard linear foot demo and install</t>
  </si>
  <si>
    <t xml:space="preserve">niche </t>
  </si>
  <si>
    <t>trash disposable not included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</si>
  <si>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</si>
  <si>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</si>
  <si>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</si>
  <si>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</si>
  <si>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</si>
  <si>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</si>
  <si>
    <t>dinner room</t>
  </si>
  <si>
    <t>wood</t>
  </si>
  <si>
    <t>wood demo</t>
  </si>
  <si>
    <t>tile demo</t>
  </si>
  <si>
    <t>hallway</t>
  </si>
  <si>
    <t xml:space="preserve">kitchen / laundry demo </t>
  </si>
  <si>
    <t xml:space="preserve">bathroom </t>
  </si>
  <si>
    <t>tile</t>
  </si>
  <si>
    <t>step demo</t>
  </si>
  <si>
    <t>room1 wood</t>
  </si>
  <si>
    <t>mater bathroom tile</t>
  </si>
  <si>
    <t>4.6x5 baseboard</t>
  </si>
  <si>
    <t xml:space="preserve">master room </t>
  </si>
  <si>
    <t>kitchen tile maybe</t>
  </si>
  <si>
    <t xml:space="preserve">laundry tile </t>
  </si>
  <si>
    <t xml:space="preserve">step </t>
  </si>
  <si>
    <t>3.6 linear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</si>
</sst>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6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8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46091.0</v>
      </c>
      <c r="I2" s="3"/>
    </row>
    <row r="3">
      <c r="A3" s="3" t="s">
        <v>4</v>
      </c>
      <c r="F3" s="4" t="s">
        <v>5</v>
      </c>
      <c r="H3" s="3">
        <v>2606.0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3"/>
      <c r="H11" s="19"/>
      <c r="I11" s="11"/>
    </row>
    <row r="12">
      <c r="A12" s="20" t="s">
        <v>18</v>
      </c>
      <c r="B12" s="21"/>
      <c r="C12" s="7"/>
      <c r="D12" s="7"/>
      <c r="E12" s="7"/>
      <c r="F12" s="22" t="s">
        <v>19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20</v>
      </c>
      <c r="B14" s="14"/>
      <c r="C14" s="14"/>
      <c r="D14" s="14"/>
      <c r="E14" s="14"/>
      <c r="F14" s="25" t="s">
        <v>21</v>
      </c>
      <c r="G14" s="25" t="s">
        <v>22</v>
      </c>
      <c r="H14" s="25" t="s">
        <v>23</v>
      </c>
      <c r="I14" s="11"/>
    </row>
    <row r="15" ht="15.0" customHeight="1">
      <c r="A15" s="26" t="s">
        <v>24</v>
      </c>
      <c r="E15" s="19"/>
      <c r="F15" s="27">
        <v>37.0</v>
      </c>
      <c r="G15" s="27">
        <v>4.0</v>
      </c>
      <c r="H15" s="27">
        <f t="shared" ref="H15:H17" si="1">G15*F15</f>
        <v>148</v>
      </c>
      <c r="I15" s="11"/>
    </row>
    <row r="16" ht="15.0" customHeight="1">
      <c r="A16" s="26" t="s">
        <v>25</v>
      </c>
      <c r="E16" s="19"/>
      <c r="F16" s="27">
        <v>1.0</v>
      </c>
      <c r="G16" s="27">
        <v>50.0</v>
      </c>
      <c r="H16" s="27">
        <f t="shared" si="1"/>
        <v>50</v>
      </c>
      <c r="I16" s="11"/>
    </row>
    <row r="17" ht="15.0" customHeight="1">
      <c r="A17" s="26" t="s">
        <v>26</v>
      </c>
      <c r="E17" s="19"/>
      <c r="F17" s="27">
        <v>37.0</v>
      </c>
      <c r="G17" s="27">
        <v>35.0</v>
      </c>
      <c r="H17" s="27">
        <f t="shared" si="1"/>
        <v>1295</v>
      </c>
      <c r="I17" s="11"/>
    </row>
    <row r="18" ht="15.0" customHeight="1">
      <c r="A18" s="26" t="s">
        <v>27</v>
      </c>
      <c r="E18" s="19"/>
      <c r="F18" s="27">
        <v>1.0</v>
      </c>
      <c r="G18" s="27">
        <v>200.0</v>
      </c>
      <c r="H18" s="27">
        <v>200.0</v>
      </c>
      <c r="I18" s="11"/>
    </row>
    <row r="19" ht="15.0" customHeight="1">
      <c r="A19" s="26" t="s">
        <v>28</v>
      </c>
      <c r="E19" s="19"/>
      <c r="F19" s="27">
        <v>2.0</v>
      </c>
      <c r="G19" s="27">
        <v>150.0</v>
      </c>
      <c r="H19" s="27">
        <f t="shared" ref="H19:H26" si="2">G19*F19</f>
        <v>300</v>
      </c>
      <c r="I19" s="11"/>
    </row>
    <row r="20" ht="15.0" customHeight="1">
      <c r="A20" s="26" t="s">
        <v>29</v>
      </c>
      <c r="E20" s="19"/>
      <c r="F20" s="27">
        <v>122.0</v>
      </c>
      <c r="G20" s="27">
        <v>4.0</v>
      </c>
      <c r="H20" s="27">
        <f t="shared" si="2"/>
        <v>488</v>
      </c>
      <c r="I20" s="11"/>
    </row>
    <row r="21" ht="15.0" customHeight="1">
      <c r="A21" s="26" t="s">
        <v>30</v>
      </c>
      <c r="E21" s="19"/>
      <c r="F21" s="27">
        <v>122.0</v>
      </c>
      <c r="G21" s="27">
        <v>2.5</v>
      </c>
      <c r="H21" s="27">
        <f t="shared" si="2"/>
        <v>305</v>
      </c>
      <c r="I21" s="11"/>
    </row>
    <row r="22" ht="15.0" customHeight="1">
      <c r="A22" s="26" t="s">
        <v>31</v>
      </c>
      <c r="E22" s="19"/>
      <c r="F22" s="27">
        <v>122.0</v>
      </c>
      <c r="G22" s="27">
        <v>14.0</v>
      </c>
      <c r="H22" s="27">
        <f t="shared" si="2"/>
        <v>1708</v>
      </c>
      <c r="I22" s="11"/>
    </row>
    <row r="23" ht="15.0" customHeight="1">
      <c r="A23" s="26" t="s">
        <v>32</v>
      </c>
      <c r="E23" s="19"/>
      <c r="F23" s="27">
        <v>2.0</v>
      </c>
      <c r="G23" s="27">
        <v>120.0</v>
      </c>
      <c r="H23" s="27">
        <f t="shared" si="2"/>
        <v>240</v>
      </c>
      <c r="I23" s="11"/>
    </row>
    <row r="24" ht="15.0" customHeight="1">
      <c r="A24" s="26" t="s">
        <v>33</v>
      </c>
      <c r="E24" s="19"/>
      <c r="F24" s="27">
        <v>157.0</v>
      </c>
      <c r="G24" s="27">
        <v>2.5</v>
      </c>
      <c r="H24" s="27">
        <f t="shared" si="2"/>
        <v>392.5</v>
      </c>
      <c r="I24" s="11"/>
    </row>
    <row r="25" ht="15.0" customHeight="1">
      <c r="A25" s="26" t="s">
        <v>34</v>
      </c>
      <c r="E25" s="19"/>
      <c r="F25" s="27">
        <v>156.0</v>
      </c>
      <c r="G25" s="27">
        <v>4.4</v>
      </c>
      <c r="H25" s="27">
        <f t="shared" si="2"/>
        <v>686.4</v>
      </c>
      <c r="I25" s="11"/>
    </row>
    <row r="26" ht="15.0" customHeight="1">
      <c r="A26" s="26" t="s">
        <v>35</v>
      </c>
      <c r="E26" s="19"/>
      <c r="F26" s="27">
        <v>43.0</v>
      </c>
      <c r="G26" s="27">
        <v>4.0</v>
      </c>
      <c r="H26" s="28">
        <f t="shared" si="2"/>
        <v>172</v>
      </c>
      <c r="I26" s="11"/>
    </row>
    <row r="27" ht="13.5" customHeight="1">
      <c r="A27" s="26" t="s">
        <v>36</v>
      </c>
      <c r="E27" s="19"/>
      <c r="F27" s="27">
        <v>2.0</v>
      </c>
      <c r="G27" s="27">
        <v>400.0</v>
      </c>
      <c r="H27" s="27">
        <v>800.0</v>
      </c>
      <c r="I27" s="11"/>
    </row>
    <row r="28" ht="13.5" customHeight="1">
      <c r="A28" s="26" t="s">
        <v>37</v>
      </c>
      <c r="E28" s="19"/>
      <c r="F28" s="27"/>
      <c r="G28" s="27"/>
      <c r="H28" s="28"/>
      <c r="I28" s="11"/>
    </row>
    <row r="29" ht="13.5" customHeight="1">
      <c r="A29" s="26"/>
      <c r="E29" s="19"/>
      <c r="F29" s="29" t="s">
        <v>38</v>
      </c>
      <c r="G29" s="10"/>
      <c r="H29" s="28">
        <f>SUM(H15:H28)</f>
        <v>6784.9</v>
      </c>
      <c r="I29" s="11"/>
    </row>
    <row r="30">
      <c r="A30" s="14"/>
      <c r="B30" s="14"/>
      <c r="C30" s="14"/>
      <c r="D30" s="16"/>
      <c r="E30" s="30"/>
      <c r="F30" s="9"/>
      <c r="G30" s="31"/>
      <c r="H30" s="32"/>
      <c r="I30" s="11"/>
    </row>
    <row r="31">
      <c r="A31" s="33"/>
    </row>
    <row r="33">
      <c r="A33" s="3" t="s">
        <v>39</v>
      </c>
    </row>
    <row r="34">
      <c r="A34" s="3" t="s">
        <v>40</v>
      </c>
    </row>
    <row r="35">
      <c r="A35" s="3" t="s">
        <v>41</v>
      </c>
    </row>
    <row r="37">
      <c r="A37" s="34" t="s">
        <v>42</v>
      </c>
    </row>
    <row r="38">
      <c r="A38" s="35" t="s">
        <v>43</v>
      </c>
    </row>
    <row r="39">
      <c r="A39" s="36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4:E34"/>
    <mergeCell ref="A35:E35"/>
    <mergeCell ref="A37:H37"/>
    <mergeCell ref="A38:H38"/>
    <mergeCell ref="A39:G39"/>
    <mergeCell ref="A27:E27"/>
    <mergeCell ref="A28:E28"/>
    <mergeCell ref="A29:E29"/>
    <mergeCell ref="F29:G29"/>
    <mergeCell ref="E30:F30"/>
    <mergeCell ref="A31:F31"/>
    <mergeCell ref="A33:E3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2">
      <c r="A2" s="3" t="s">
        <v>44</v>
      </c>
      <c r="B2">
        <f>11*18</f>
        <v>198</v>
      </c>
      <c r="C2" s="3" t="s">
        <v>45</v>
      </c>
    </row>
    <row r="3">
      <c r="B3">
        <f>11.2*12.7</f>
        <v>142.24</v>
      </c>
      <c r="C3" s="3" t="s">
        <v>45</v>
      </c>
      <c r="F3" s="3" t="s">
        <v>46</v>
      </c>
      <c r="G3">
        <f>B4+B8+B14+B20</f>
        <v>736.75</v>
      </c>
    </row>
    <row r="4">
      <c r="B4" s="37">
        <f>B2+B3</f>
        <v>340.24</v>
      </c>
      <c r="F4" s="3" t="s">
        <v>47</v>
      </c>
      <c r="G4">
        <f>B10+B16</f>
        <v>52.6</v>
      </c>
    </row>
    <row r="6">
      <c r="A6" s="3" t="s">
        <v>48</v>
      </c>
      <c r="B6">
        <f>6.9*10.4</f>
        <v>71.76</v>
      </c>
      <c r="C6" s="3" t="s">
        <v>45</v>
      </c>
    </row>
    <row r="7">
      <c r="B7">
        <f>3*2.7</f>
        <v>8.1</v>
      </c>
    </row>
    <row r="8">
      <c r="B8" s="37">
        <f>B6-B7</f>
        <v>63.66</v>
      </c>
      <c r="F8" s="3" t="s">
        <v>49</v>
      </c>
      <c r="G8" s="3">
        <v>161.55</v>
      </c>
    </row>
    <row r="9">
      <c r="A9" s="3" t="s">
        <v>50</v>
      </c>
      <c r="B9">
        <f>7.4*4</f>
        <v>29.6</v>
      </c>
    </row>
    <row r="10">
      <c r="A10" s="3" t="s">
        <v>51</v>
      </c>
      <c r="B10" s="38">
        <v>29.6</v>
      </c>
      <c r="F10" s="3" t="s">
        <v>52</v>
      </c>
    </row>
    <row r="12">
      <c r="A12" s="3" t="s">
        <v>53</v>
      </c>
      <c r="B12">
        <f>4.7*4.2</f>
        <v>19.74</v>
      </c>
    </row>
    <row r="13">
      <c r="B13">
        <f>10.6*12</f>
        <v>127.2</v>
      </c>
    </row>
    <row r="14">
      <c r="B14" s="37">
        <f>B12+B13</f>
        <v>146.94</v>
      </c>
    </row>
    <row r="16">
      <c r="A16" s="3" t="s">
        <v>54</v>
      </c>
      <c r="B16">
        <f>4.6*5</f>
        <v>23</v>
      </c>
      <c r="D16" s="3" t="s">
        <v>55</v>
      </c>
    </row>
    <row r="18">
      <c r="A18" s="3" t="s">
        <v>56</v>
      </c>
      <c r="B18">
        <f>12*14.4</f>
        <v>172.8</v>
      </c>
    </row>
    <row r="19">
      <c r="A19" s="3" t="s">
        <v>45</v>
      </c>
      <c r="B19">
        <f>2.3*5.7</f>
        <v>13.11</v>
      </c>
    </row>
    <row r="20">
      <c r="B20" s="37">
        <f>B18+B19</f>
        <v>185.91</v>
      </c>
    </row>
    <row r="21">
      <c r="A21" s="3" t="s">
        <v>57</v>
      </c>
      <c r="B21" s="3">
        <f>2*3</f>
        <v>6</v>
      </c>
    </row>
    <row r="22">
      <c r="B22">
        <f>2*2.6</f>
        <v>5.2</v>
      </c>
    </row>
    <row r="23">
      <c r="B23">
        <f>6.6*15.5</f>
        <v>102.3</v>
      </c>
    </row>
    <row r="25">
      <c r="A25" s="3" t="s">
        <v>58</v>
      </c>
      <c r="B25" s="3">
        <v>3.0</v>
      </c>
    </row>
    <row r="26">
      <c r="B26">
        <f>5.3*8.5</f>
        <v>45.05</v>
      </c>
    </row>
    <row r="27">
      <c r="C27">
        <f>B21+B22+B23+B25+B26</f>
        <v>161.55</v>
      </c>
    </row>
    <row r="28">
      <c r="A28" s="3" t="s">
        <v>59</v>
      </c>
      <c r="B28" s="3">
        <v>3.0</v>
      </c>
    </row>
    <row r="29">
      <c r="B29" s="3" t="s">
        <v>60</v>
      </c>
    </row>
  </sheetData>
  <drawing r:id="rId1"/>
</worksheet>
</file>