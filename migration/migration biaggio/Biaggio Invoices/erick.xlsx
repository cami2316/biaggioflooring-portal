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<sst xmlns="http://schemas.openxmlformats.org/spreadsheetml/2006/main" count="48" uniqueCount="45">
  <si>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</si>
  <si>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</si>
  <si>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</si>
  <si>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</si>
  <si>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</si>
  <si>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</si>
  <si>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</si>
  <si>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</si>
  <si>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</si>
  <si>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</si>
  <si>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Erick 02</t>
  </si>
  <si>
    <t>Customer Information</t>
  </si>
  <si>
    <t>Name:</t>
  </si>
  <si>
    <t>eick</t>
  </si>
  <si>
    <t>Phone:</t>
  </si>
  <si>
    <t>Address: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</si>
  <si>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</si>
  <si>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</si>
  <si>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</si>
  <si>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</si>
  <si>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</si>
  <si>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</si>
  <si>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</si>
  <si>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carpet demo</t>
  </si>
  <si>
    <t>room install</t>
  </si>
  <si>
    <t>base board ( demo and reeinstal)</t>
  </si>
  <si>
    <t>floor  stairs( big areas)</t>
  </si>
  <si>
    <t>demo floor 1st step( 8 linear foot).</t>
  </si>
  <si>
    <t>floor steps</t>
  </si>
  <si>
    <t xml:space="preserve"> schluter glue</t>
  </si>
  <si>
    <t>cement board room</t>
  </si>
  <si>
    <t>stairs cut and demo to adjust tile under them</t>
  </si>
  <si>
    <t>invoice 158165</t>
  </si>
  <si>
    <t>invoice 158152</t>
  </si>
  <si>
    <t>lowes</t>
  </si>
  <si>
    <t>floor decor</t>
  </si>
  <si>
    <t>floor prep not included ( 60/ grinder hour or $ 30 / self leveling install)</t>
  </si>
  <si>
    <t>Total</t>
  </si>
  <si>
    <t>paid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</si>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</sst>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44725.0</v>
      </c>
    </row>
    <row r="3">
      <c r="A3" s="3" t="s">
        <v>4</v>
      </c>
      <c r="F3" s="4" t="s">
        <v>5</v>
      </c>
      <c r="H3" s="3">
        <v>2261.0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B15" s="14"/>
      <c r="C15" s="14"/>
      <c r="D15" s="14"/>
      <c r="E15" s="16"/>
      <c r="F15" s="28">
        <v>236.0</v>
      </c>
      <c r="G15" s="28">
        <v>0.7</v>
      </c>
      <c r="H15" s="28">
        <f t="shared" ref="H15:H18" si="1">G15*F15</f>
        <v>165.2</v>
      </c>
      <c r="I15" s="11"/>
    </row>
    <row r="16" ht="15.0" customHeight="1">
      <c r="A16" s="29" t="s">
        <v>24</v>
      </c>
      <c r="E16" s="20"/>
      <c r="F16" s="30">
        <v>236.0</v>
      </c>
      <c r="G16" s="30">
        <v>3.7</v>
      </c>
      <c r="H16" s="30">
        <f t="shared" si="1"/>
        <v>873.2</v>
      </c>
      <c r="I16" s="11"/>
    </row>
    <row r="17" ht="18.75" customHeight="1">
      <c r="A17" s="29" t="s">
        <v>25</v>
      </c>
      <c r="E17" s="20"/>
      <c r="F17" s="30">
        <v>66.0</v>
      </c>
      <c r="G17" s="30">
        <v>3.6</v>
      </c>
      <c r="H17" s="31">
        <f t="shared" si="1"/>
        <v>237.6</v>
      </c>
      <c r="I17" s="11"/>
    </row>
    <row r="18" ht="15.0" customHeight="1">
      <c r="A18" s="29" t="s">
        <v>26</v>
      </c>
      <c r="E18" s="20"/>
      <c r="F18" s="30">
        <v>86.0</v>
      </c>
      <c r="G18" s="30">
        <v>3.7</v>
      </c>
      <c r="H18" s="31">
        <f t="shared" si="1"/>
        <v>318.2</v>
      </c>
      <c r="I18" s="11"/>
    </row>
    <row r="19" ht="15.0" customHeight="1">
      <c r="A19" s="29" t="s">
        <v>27</v>
      </c>
      <c r="E19" s="20"/>
      <c r="F19" s="30">
        <v>1.0</v>
      </c>
      <c r="G19" s="30">
        <v>150.0</v>
      </c>
      <c r="H19" s="30">
        <v>150.0</v>
      </c>
      <c r="I19" s="11"/>
    </row>
    <row r="20" ht="15.0" customHeight="1">
      <c r="A20" s="29" t="s">
        <v>28</v>
      </c>
      <c r="E20" s="20"/>
      <c r="F20" s="30">
        <v>122.2</v>
      </c>
      <c r="G20" s="30">
        <v>6.0</v>
      </c>
      <c r="H20" s="31">
        <f>G20*F20</f>
        <v>733.2</v>
      </c>
      <c r="I20" s="11"/>
    </row>
    <row r="21" ht="15.0" customHeight="1">
      <c r="A21" s="29" t="s">
        <v>29</v>
      </c>
      <c r="E21" s="20"/>
      <c r="F21" s="30">
        <v>1.0</v>
      </c>
      <c r="G21" s="30">
        <v>250.0</v>
      </c>
      <c r="H21" s="30">
        <v>250.0</v>
      </c>
      <c r="I21" s="11"/>
    </row>
    <row r="22" ht="15.0" customHeight="1">
      <c r="A22" s="29" t="s">
        <v>30</v>
      </c>
      <c r="E22" s="20"/>
      <c r="F22" s="30">
        <v>236.0</v>
      </c>
      <c r="G22" s="30">
        <v>2.5</v>
      </c>
      <c r="H22" s="30">
        <f t="shared" ref="H22:H23" si="2">G22*F22</f>
        <v>590</v>
      </c>
      <c r="I22" s="11"/>
    </row>
    <row r="23" ht="15.0" customHeight="1">
      <c r="A23" s="29" t="s">
        <v>31</v>
      </c>
      <c r="E23" s="20"/>
      <c r="F23" s="30">
        <v>7.0</v>
      </c>
      <c r="G23" s="30">
        <v>70.0</v>
      </c>
      <c r="H23" s="30">
        <f t="shared" si="2"/>
        <v>490</v>
      </c>
      <c r="I23" s="11"/>
    </row>
    <row r="24" ht="15.0" customHeight="1">
      <c r="A24" s="29" t="s">
        <v>32</v>
      </c>
      <c r="E24" s="20"/>
      <c r="F24" s="30">
        <v>1.0</v>
      </c>
      <c r="G24" s="30">
        <v>322.7</v>
      </c>
      <c r="H24" s="30">
        <v>322.7</v>
      </c>
      <c r="I24" s="11"/>
    </row>
    <row r="25" ht="15.0" customHeight="1">
      <c r="A25" s="29" t="s">
        <v>33</v>
      </c>
      <c r="E25" s="20"/>
      <c r="F25" s="30">
        <v>1.0</v>
      </c>
      <c r="G25" s="30">
        <v>103.26</v>
      </c>
      <c r="H25" s="30">
        <f t="shared" ref="H25:H30" si="3">G25</f>
        <v>103.26</v>
      </c>
      <c r="I25" s="11"/>
    </row>
    <row r="26" ht="15.0" customHeight="1">
      <c r="A26" s="29" t="s">
        <v>34</v>
      </c>
      <c r="E26" s="20"/>
      <c r="F26" s="30">
        <v>1.0</v>
      </c>
      <c r="G26" s="30">
        <v>20.9</v>
      </c>
      <c r="H26" s="30">
        <f t="shared" si="3"/>
        <v>20.9</v>
      </c>
      <c r="I26" s="11"/>
    </row>
    <row r="27" ht="15.0" customHeight="1">
      <c r="A27" s="29" t="s">
        <v>34</v>
      </c>
      <c r="E27" s="20"/>
      <c r="F27" s="30">
        <v>1.0</v>
      </c>
      <c r="G27" s="30">
        <v>222.3</v>
      </c>
      <c r="H27" s="30">
        <f t="shared" si="3"/>
        <v>222.3</v>
      </c>
      <c r="I27" s="11"/>
    </row>
    <row r="28" ht="15.0" customHeight="1">
      <c r="A28" s="29" t="s">
        <v>34</v>
      </c>
      <c r="E28" s="20"/>
      <c r="F28" s="30">
        <v>1.0</v>
      </c>
      <c r="G28" s="30">
        <v>251.82</v>
      </c>
      <c r="H28" s="30">
        <f t="shared" si="3"/>
        <v>251.82</v>
      </c>
      <c r="I28" s="11"/>
    </row>
    <row r="29" ht="15.0" customHeight="1">
      <c r="A29" s="29" t="s">
        <v>34</v>
      </c>
      <c r="E29" s="20"/>
      <c r="F29" s="30">
        <v>1.0</v>
      </c>
      <c r="G29" s="30">
        <v>60.89</v>
      </c>
      <c r="H29" s="30">
        <f t="shared" si="3"/>
        <v>60.89</v>
      </c>
      <c r="I29" s="11"/>
    </row>
    <row r="30" ht="15.0" customHeight="1">
      <c r="A30" s="29" t="s">
        <v>35</v>
      </c>
      <c r="E30" s="20"/>
      <c r="F30" s="30">
        <v>1.0</v>
      </c>
      <c r="G30" s="30">
        <v>57.39</v>
      </c>
      <c r="H30" s="30">
        <f t="shared" si="3"/>
        <v>57.39</v>
      </c>
      <c r="I30" s="11"/>
    </row>
    <row r="31" ht="15.0" customHeight="1">
      <c r="A31" s="32" t="s">
        <v>36</v>
      </c>
      <c r="B31" s="7"/>
      <c r="C31" s="7"/>
      <c r="D31" s="7"/>
      <c r="E31" s="24"/>
      <c r="F31" s="33"/>
      <c r="G31" s="10"/>
      <c r="H31" s="34"/>
      <c r="I31" s="11"/>
    </row>
    <row r="32">
      <c r="A32" s="14"/>
      <c r="B32" s="14"/>
      <c r="C32" s="14"/>
      <c r="D32" s="16"/>
      <c r="E32" s="35" t="s">
        <v>37</v>
      </c>
      <c r="F32" s="9"/>
      <c r="G32" s="36"/>
      <c r="H32" s="37">
        <f>H15+H16+H17+H18+H19+H20+H21+H22+H23+H24+H25+H26+H27+H28+H29+H30</f>
        <v>4846.66</v>
      </c>
      <c r="I32" s="11"/>
    </row>
    <row r="33">
      <c r="E33" s="38" t="s">
        <v>38</v>
      </c>
      <c r="F33" s="14"/>
      <c r="G33" s="14"/>
      <c r="H33" s="39">
        <v>1500.0</v>
      </c>
    </row>
    <row r="34">
      <c r="E34" s="38" t="s">
        <v>39</v>
      </c>
      <c r="F34" s="14"/>
      <c r="G34" s="14"/>
      <c r="H34" s="39">
        <f>H32-H33</f>
        <v>3346.66</v>
      </c>
    </row>
    <row r="35">
      <c r="A35" s="3" t="s">
        <v>40</v>
      </c>
    </row>
    <row r="36">
      <c r="A36" s="3" t="s">
        <v>41</v>
      </c>
    </row>
    <row r="37">
      <c r="A37" s="3" t="s">
        <v>42</v>
      </c>
    </row>
    <row r="39">
      <c r="A39" s="40" t="s">
        <v>43</v>
      </c>
    </row>
    <row r="40">
      <c r="A40" s="41" t="s">
        <v>44</v>
      </c>
    </row>
    <row r="41">
      <c r="A41" s="42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E35"/>
    <mergeCell ref="A36:E36"/>
    <mergeCell ref="A37:E37"/>
    <mergeCell ref="A39:H39"/>
    <mergeCell ref="A40:H40"/>
    <mergeCell ref="A41:G41"/>
    <mergeCell ref="A27:E27"/>
    <mergeCell ref="A28:E28"/>
    <mergeCell ref="A29:E29"/>
    <mergeCell ref="A30:E30"/>
    <mergeCell ref="A31:E31"/>
    <mergeCell ref="F31:G31"/>
    <mergeCell ref="E32:F32"/>
  </mergeCells>
  <drawing r:id="rId1"/>
</worksheet>
</file>