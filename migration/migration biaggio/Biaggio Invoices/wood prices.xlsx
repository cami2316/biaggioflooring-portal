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<sst xmlns="http://schemas.openxmlformats.org/spreadsheetml/2006/main" count="97" uniqueCount="83">
  <si>
    <t>Name</t>
  </si>
  <si>
    <t>model</t>
  </si>
  <si>
    <t>price</t>
  </si>
  <si>
    <t>case price</t>
  </si>
  <si>
    <t>D2 Price/ sq</t>
  </si>
  <si>
    <t xml:space="preserve">Home Legend Canyon Cherry 8mm Thick x 7-9/16 in. Wide x 50-5/8 in. Length Laminate Flooring </t>
  </si>
  <si>
    <t>Model # HL1001</t>
  </si>
  <si>
    <t xml:space="preserve">$1.98 /Sq. Ft. </t>
  </si>
  <si>
    <t>$42.17 /CA-Case Covers 21.3 Sq. Ft.</t>
  </si>
  <si>
    <t xml:space="preserve">Home Legend Pecan Natural 10mm Thick x 5 in. Wide x 47-3/4 in. Length Laminate Flooring </t>
  </si>
  <si>
    <t>Model # HL83</t>
  </si>
  <si>
    <t>$2.67 /Sq. Ft.</t>
  </si>
  <si>
    <t>$35.40 /CA-Case Covers 13.26 Sq. Ft</t>
  </si>
  <si>
    <t>Home Legend Horizontal Toast 9/16 in. Thick x 4-3/4 in. Wide x 47-1/4 in. Length Engineered Bamboo Flooring</t>
  </si>
  <si>
    <t>Model # HL18</t>
  </si>
  <si>
    <t>$3.49 /Sq. Ft</t>
  </si>
  <si>
    <t>$87.04 /CA-Case Covers 24.94 Sq. Ft.</t>
  </si>
  <si>
    <t xml:space="preserve">Home Legend Hand Scraped Oak Gunstock 5/8 in.Thick x 4-3/4 in.Wide x 47-1/4 in.Length Click Lock Hardwood Flooring </t>
  </si>
  <si>
    <t>Model # HL58</t>
  </si>
  <si>
    <t>$3.98 /Sq. Ft.</t>
  </si>
  <si>
    <t>$99.26 /CA-Case Covers 24.94 Sq. Ft.</t>
  </si>
  <si>
    <t>DuPont Heritage Oak 10mm Thick x 15-1/2 in. Wide x 46-1/2 in. Length Laminate Flooring (20.15 sq. ft./case)</t>
  </si>
  <si>
    <t>Model # FL734998</t>
  </si>
  <si>
    <t>$3.65 /Sq. Ft.</t>
  </si>
  <si>
    <t>$67.91 /CA-Case Covers 18.60 Sq. Ft.</t>
  </si>
  <si>
    <t xml:space="preserve">Artisan Hickory Sepia 3/8 in. Thick x 4-3/4 in. Wide x Random Length Click Hardwood Flooring </t>
  </si>
  <si>
    <t>Model # PF9602</t>
  </si>
  <si>
    <t>$4.74 /Sq. Ft.</t>
  </si>
  <si>
    <t>$106.65 /CA-Case Covers 22.5 Sq. Ft.</t>
  </si>
  <si>
    <t>Artisan Hickory Sepia 1/2 in. Thick x 5 in. Wide x Random Length Engineered Hardwood Flooring</t>
  </si>
  <si>
    <t>Model # PF9608</t>
  </si>
  <si>
    <t>$5.48 /Sq. Ft.</t>
  </si>
  <si>
    <t>$169.88 /CA-Case Covers 31 Sq. Ft.</t>
  </si>
  <si>
    <t>Artisan Hickory Sepia 3/4 in. Thick x 4 in. Width x Random Length Solid Hardwood Flooring</t>
  </si>
  <si>
    <t>Model # PF9614</t>
  </si>
  <si>
    <t>$6.49 /Sq. Ft.</t>
  </si>
  <si>
    <t>$136.29 /CA-Case Covers 21 Sq. Ft.</t>
  </si>
  <si>
    <t>Home Legend Brazilian Hickory 10mm Thick x 5 in. Wide x 47-3/4 in. Length Laminate Flooring</t>
  </si>
  <si>
    <t>Model # HL84</t>
  </si>
  <si>
    <t>$2.98 /Sq. Ft.</t>
  </si>
  <si>
    <t>$39.51 /CA-Case Covers 13.26 Sq. Ft.</t>
  </si>
  <si>
    <t>Home Legend Hand Scraped Maple Saddle 3/8 in. Thick x 3-1/2 in. Wide x 35-1/2 in. Length Click Lock Hardwood Flooring</t>
  </si>
  <si>
    <t>Model # HL78H</t>
  </si>
  <si>
    <t>$61.72 /CA-Case Covers 20.71 Sq. Ft.</t>
  </si>
  <si>
    <t>DuPont Tuscan Stone Bronze 10mm Thick x 15-1/2 in. Wide x 46-1/16 in. Length Laminate Flooring (20.02 sq. ft./case)</t>
  </si>
  <si>
    <t>Model # 118640</t>
  </si>
  <si>
    <t>$3.63 /Sq. Ft.</t>
  </si>
  <si>
    <t>$67.46 /CA-Case Covers 18.60 Sq. Ft.</t>
  </si>
  <si>
    <t>Vintage Maple Natural 3/8 in. Thick x 4-3/4 in. Wide x Random Length Engineered Hardwood Flooring</t>
  </si>
  <si>
    <t>Model # PF9603</t>
  </si>
  <si>
    <t>$3.37 /Sq. Ft.</t>
  </si>
  <si>
    <t>$75.83 /CA-Case Covers 22.5 Sq. Ft.</t>
  </si>
  <si>
    <t>Vintage Maple Natural 1/2 in. Thick x 5 in. Wide x Random Length Engineered Hardwood Flooring</t>
  </si>
  <si>
    <t>Model # PF9609</t>
  </si>
  <si>
    <t>Pergo Presto Tumbled Marble 8mm Thick x 7-5/8 in. Wide x 47-1/2 in. Length Laminate Flooring</t>
  </si>
  <si>
    <t>Model # 04719</t>
  </si>
  <si>
    <t>$2.59 /Sq. Ft.</t>
  </si>
  <si>
    <t>$52.04 /CA-Case Covers 20.1 Sq. Ft.</t>
  </si>
  <si>
    <t xml:space="preserve">Home Legend Horizontal Honey 5/8 in. Thick x 3-3/4 in. Wide x 37-3/4 in. Length Solid Bamboo Flooring </t>
  </si>
  <si>
    <t>Model # HL09</t>
  </si>
  <si>
    <t>$93.89 /CA-Case Covers 23.59 Sq. Ft.</t>
  </si>
  <si>
    <t>Home Legend Bamboo Honey 3/8 in. Thick x 3-3/4 in. Wide x 37-3/4 in. Length Engineered Hardwood Flooring</t>
  </si>
  <si>
    <t>Model # HL09H</t>
  </si>
  <si>
    <t>$3.47 /Sq. Ft.</t>
  </si>
  <si>
    <t>$81.80 /CA-Case Covers 23.59 Sq. Ft.</t>
  </si>
  <si>
    <t>Home Legend Hand Scraped Maple Sedona 3/8 in. Thick x 3-1/2 in. Wide x 35-1/2 in. Length Click Lock Hardwood Flooring</t>
  </si>
  <si>
    <t>Model # HL502</t>
  </si>
  <si>
    <t>Home Legend Hand Scraped Sedona Maple 1/2 in. Thick x 3-1/2 in. Wide x Random Length Engineered Hardwood Flooring</t>
  </si>
  <si>
    <t>Model # HL65P</t>
  </si>
  <si>
    <t>$82.42 /CA-Case Covers 20.71 Sq. Ft.</t>
  </si>
  <si>
    <t>Home Legend Hand Scraped Maple Sedona 3/4 in. Thick x 3-1/2 in. Wide x Random Length Solid Hardwood Flooring</t>
  </si>
  <si>
    <t>Model # HL65S</t>
  </si>
  <si>
    <t>$85.10 /CA-Case Covers 15.53 Sq. Ft.</t>
  </si>
  <si>
    <t>Maple Platinum 3/8 in. Thick x 4-3/4 in. Width x Random Length Engineered Hardwood Flooring</t>
  </si>
  <si>
    <t>Model # PF9605</t>
  </si>
  <si>
    <t>Maple Platinum 1/2 in. Thick x 5 in. Wide x Random Length Engineered Hardwood Flooring</t>
  </si>
  <si>
    <t>Model # PF9611</t>
  </si>
  <si>
    <t>$5.78 /Sq. Ft.</t>
  </si>
  <si>
    <t>$179.18 /CA-Case Covers 31 Sq. Ft.</t>
  </si>
  <si>
    <t>Maple Platinum 3/4 in. Thick x 4 in. Width x Random Length Solid Hardwood Flooring (21-Case)</t>
  </si>
  <si>
    <t>Model # PF9616</t>
  </si>
  <si>
    <t>$7.48 /Sq. Ft.</t>
  </si>
  <si>
    <t>$157.08 /CA-Case Covers 21 Sq.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</si>
</sst>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3.0"/>
    <col customWidth="1" min="2" max="2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3">
        <f>1.98*1.22</f>
        <v>2.4156</v>
      </c>
      <c r="F2" s="2"/>
    </row>
    <row r="3">
      <c r="A3" s="1" t="s">
        <v>9</v>
      </c>
      <c r="B3" s="1" t="s">
        <v>10</v>
      </c>
      <c r="C3" s="1" t="s">
        <v>11</v>
      </c>
      <c r="D3" s="1" t="s">
        <v>12</v>
      </c>
      <c r="E3" s="3">
        <f>2.67*1.22</f>
        <v>3.2574</v>
      </c>
      <c r="F3" s="2"/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3">
        <f>3.49*1.22</f>
        <v>4.2578</v>
      </c>
      <c r="F4" s="2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3">
        <f>3.98*1.22</f>
        <v>4.8556</v>
      </c>
      <c r="F5" s="2"/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3">
        <f>3.65*1.22</f>
        <v>4.453</v>
      </c>
      <c r="F6" s="2"/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3">
        <f>4.74*1.22</f>
        <v>5.7828</v>
      </c>
      <c r="F7" s="2"/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3">
        <f>5.48*1.22</f>
        <v>6.6856</v>
      </c>
      <c r="F8" s="2"/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3">
        <f>6.49*1.22</f>
        <v>7.9178</v>
      </c>
      <c r="F9" s="2"/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3">
        <f t="shared" ref="E10:E11" si="1">2.98*1.22</f>
        <v>3.6356</v>
      </c>
      <c r="F10" s="2"/>
    </row>
    <row r="11">
      <c r="A11" s="1" t="s">
        <v>41</v>
      </c>
      <c r="B11" s="1" t="s">
        <v>42</v>
      </c>
      <c r="C11" s="1" t="s">
        <v>39</v>
      </c>
      <c r="D11" s="1" t="s">
        <v>43</v>
      </c>
      <c r="E11" s="3">
        <f t="shared" si="1"/>
        <v>3.6356</v>
      </c>
      <c r="F11" s="2"/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3">
        <f>3.63*1.22</f>
        <v>4.4286</v>
      </c>
      <c r="F12" s="2"/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3">
        <f>3.37*1.22</f>
        <v>4.1114</v>
      </c>
      <c r="F13" s="2"/>
    </row>
    <row r="14">
      <c r="A14" s="1" t="s">
        <v>52</v>
      </c>
      <c r="B14" s="1" t="s">
        <v>53</v>
      </c>
      <c r="C14" s="1" t="s">
        <v>31</v>
      </c>
      <c r="D14" s="1" t="s">
        <v>32</v>
      </c>
      <c r="E14" s="3">
        <f>5.48*1.22</f>
        <v>6.6856</v>
      </c>
      <c r="F14" s="2"/>
    </row>
    <row r="15">
      <c r="A15" s="1" t="s">
        <v>21</v>
      </c>
      <c r="B15" s="1" t="s">
        <v>22</v>
      </c>
      <c r="C15" s="1" t="s">
        <v>23</v>
      </c>
      <c r="D15" s="1" t="s">
        <v>24</v>
      </c>
      <c r="E15" s="3">
        <f>3.65*1.22</f>
        <v>4.453</v>
      </c>
      <c r="F15" s="2"/>
    </row>
    <row r="16">
      <c r="A16" s="1" t="s">
        <v>54</v>
      </c>
      <c r="B16" s="1" t="s">
        <v>55</v>
      </c>
      <c r="C16" s="1" t="s">
        <v>56</v>
      </c>
      <c r="D16" s="1" t="s">
        <v>57</v>
      </c>
      <c r="E16" s="3">
        <f>2.59*1.22</f>
        <v>3.1598</v>
      </c>
      <c r="F16" s="2"/>
    </row>
    <row r="17">
      <c r="A17" s="1" t="s">
        <v>58</v>
      </c>
      <c r="B17" s="1" t="s">
        <v>59</v>
      </c>
      <c r="C17" s="1" t="s">
        <v>19</v>
      </c>
      <c r="D17" s="1" t="s">
        <v>60</v>
      </c>
      <c r="E17" s="3">
        <f>3.98*1.22</f>
        <v>4.8556</v>
      </c>
      <c r="F17" s="2"/>
    </row>
    <row r="18">
      <c r="A18" s="1" t="s">
        <v>61</v>
      </c>
      <c r="B18" s="1" t="s">
        <v>62</v>
      </c>
      <c r="C18" s="1" t="s">
        <v>63</v>
      </c>
      <c r="D18" s="1" t="s">
        <v>64</v>
      </c>
      <c r="E18" s="3">
        <f>3.47*1.22</f>
        <v>4.2334</v>
      </c>
      <c r="F18" s="2"/>
    </row>
    <row r="19">
      <c r="A19" s="1" t="s">
        <v>65</v>
      </c>
      <c r="B19" s="1" t="s">
        <v>66</v>
      </c>
      <c r="C19" s="1" t="s">
        <v>39</v>
      </c>
      <c r="D19" s="1" t="s">
        <v>43</v>
      </c>
      <c r="E19" s="3">
        <f>2.98*1.22</f>
        <v>3.6356</v>
      </c>
      <c r="F19" s="2"/>
    </row>
    <row r="20">
      <c r="A20" s="1" t="s">
        <v>67</v>
      </c>
      <c r="B20" s="1" t="s">
        <v>68</v>
      </c>
      <c r="C20" s="1" t="s">
        <v>19</v>
      </c>
      <c r="D20" s="1" t="s">
        <v>69</v>
      </c>
      <c r="E20" s="3">
        <f>3.98*1.22</f>
        <v>4.8556</v>
      </c>
      <c r="F20" s="2"/>
    </row>
    <row r="21">
      <c r="A21" s="1" t="s">
        <v>70</v>
      </c>
      <c r="B21" s="1" t="s">
        <v>71</v>
      </c>
      <c r="C21" s="1" t="s">
        <v>31</v>
      </c>
      <c r="D21" s="1" t="s">
        <v>72</v>
      </c>
      <c r="E21" s="3">
        <f>5.48*1.22</f>
        <v>6.6856</v>
      </c>
      <c r="F21" s="2"/>
    </row>
    <row r="22">
      <c r="A22" s="1" t="s">
        <v>73</v>
      </c>
      <c r="B22" s="1" t="s">
        <v>74</v>
      </c>
      <c r="C22" s="1" t="s">
        <v>27</v>
      </c>
      <c r="D22" s="1" t="s">
        <v>28</v>
      </c>
      <c r="E22" s="3">
        <f>4.74*1.22</f>
        <v>5.7828</v>
      </c>
      <c r="F22" s="2"/>
    </row>
    <row r="23">
      <c r="A23" s="1" t="s">
        <v>75</v>
      </c>
      <c r="B23" s="1" t="s">
        <v>76</v>
      </c>
      <c r="C23" s="1" t="s">
        <v>77</v>
      </c>
      <c r="D23" s="1" t="s">
        <v>78</v>
      </c>
      <c r="E23" s="3">
        <f>5.78*1.22</f>
        <v>7.0516</v>
      </c>
      <c r="F23" s="2"/>
    </row>
    <row r="24">
      <c r="A24" s="1" t="s">
        <v>79</v>
      </c>
      <c r="B24" s="1" t="s">
        <v>80</v>
      </c>
      <c r="C24" s="1" t="s">
        <v>81</v>
      </c>
      <c r="D24" s="1" t="s">
        <v>82</v>
      </c>
      <c r="E24" s="3">
        <f>7.48*1.22</f>
        <v>9.1256</v>
      </c>
      <c r="F24" s="2"/>
    </row>
    <row r="25">
      <c r="A25" s="4"/>
      <c r="B25" s="4"/>
      <c r="C25" s="4"/>
      <c r="D25" s="4"/>
      <c r="E25" s="4"/>
    </row>
  </sheetData>
  <drawing r:id="rId1"/>
</worksheet>
</file>