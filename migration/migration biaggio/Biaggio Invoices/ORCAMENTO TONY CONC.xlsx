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ao" sheetId="1" r:id="rId4"/>
    <sheet state="visible" name="Cenario 1" sheetId="2" r:id="rId5"/>
    <sheet state="visible" name="Cenario 2" sheetId="3" r:id="rId6"/>
    <sheet state="visible" name=" Cenario 3" sheetId="4" r:id="rId7"/>
    <sheet state="visible" name="  Cenario 4" sheetId="5" r:id="rId8"/>
  </sheets>
  <definedNames/>
  <calcPr/>
</workbook>
</file>

<file path=xl/sharedStrings.xml><?xml version="1.0" encoding="utf-8"?>
<sst xmlns="http://schemas.openxmlformats.org/spreadsheetml/2006/main" count="96" uniqueCount="47">
  <si>
    <t>Or'camento Tony Car</t>
  </si>
  <si>
    <t>area</t>
  </si>
  <si>
    <t>Produ'cao</t>
  </si>
  <si>
    <t>Total diarias</t>
  </si>
  <si>
    <t>Grout</t>
  </si>
  <si>
    <t>Valor da Gasolina</t>
  </si>
  <si>
    <t>Milhas</t>
  </si>
  <si>
    <t>Gasto Gasolina diario</t>
  </si>
  <si>
    <t>Orcamento Tony Car /  Trabalho terminado em 12dias  sem hotel</t>
  </si>
  <si>
    <t>Numerode pes</t>
  </si>
  <si>
    <t>Valor Pago por pe</t>
  </si>
  <si>
    <t>pe em tampa</t>
  </si>
  <si>
    <t>Receita</t>
  </si>
  <si>
    <t>Valor</t>
  </si>
  <si>
    <t>numero de funcionarios</t>
  </si>
  <si>
    <t>Dias de Trabalho Grout</t>
  </si>
  <si>
    <t>Dias de Trabaho</t>
  </si>
  <si>
    <t>Custo</t>
  </si>
  <si>
    <t>Pro Labore</t>
  </si>
  <si>
    <t>Diarias</t>
  </si>
  <si>
    <t>help</t>
  </si>
  <si>
    <t>Gasolina/dia</t>
  </si>
  <si>
    <t>Refei'cao/ dia</t>
  </si>
  <si>
    <t>Tool dia</t>
  </si>
  <si>
    <t>TOTAL</t>
  </si>
  <si>
    <t>Valor lucro empresa</t>
  </si>
  <si>
    <t>Valor Rafael</t>
  </si>
  <si>
    <t>Valor Fabio</t>
  </si>
  <si>
    <t>Previsao de termino</t>
  </si>
  <si>
    <t>Ou Seja uma semanae 3 dias com sab e domingo</t>
  </si>
  <si>
    <t>Orcamento Tony Car /  cobrando 3.25 com o Tony pagando Hotel</t>
  </si>
  <si>
    <t>Numero de PEs</t>
  </si>
  <si>
    <t>Dias de Trabaho com grout</t>
  </si>
  <si>
    <t>Media / dia</t>
  </si>
  <si>
    <t>Total lucro empresa</t>
  </si>
  <si>
    <t xml:space="preserve">Total Rafael </t>
  </si>
  <si>
    <t>Total Fabio</t>
  </si>
  <si>
    <t>3 semanas com descansos no domingo</t>
  </si>
  <si>
    <t>Resultado Nao da lucro! e a diaria de voces abaixa.</t>
  </si>
  <si>
    <t>Orcamento Tony Car /  cobrando 3.70  voces pagando hotel pagando Hotel</t>
  </si>
  <si>
    <t>Dias de Trabaho / com grout</t>
  </si>
  <si>
    <t>hotel</t>
  </si>
  <si>
    <t>Media dia</t>
  </si>
  <si>
    <t>Total Lucro da Empresa</t>
  </si>
  <si>
    <t>Total Rafael</t>
  </si>
  <si>
    <t>Orcamento Tony Car /  sem hotel em 30 dias</t>
  </si>
  <si>
    <t>Media de ganho por 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</si>
</sst>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&quot;$&quot;#,##0.000000000000"/>
  </numFmts>
  <fonts count="11">
    <font>
      <sz val="10.0"/>
      <color rgb="FF000000"/>
      <name val="Arial"/>
    </font>
    <font/>
    <font>
      <sz val="14.0"/>
      <name val="Verdana"/>
    </font>
    <font>
      <sz val="10.0"/>
      <name val="Verdana"/>
    </font>
    <font>
      <i/>
      <sz val="12.0"/>
      <name val="Verdana"/>
    </font>
    <font>
      <b/>
      <sz val="10.0"/>
      <name val="Verdana"/>
    </font>
    <font>
      <b/>
      <sz val="14.0"/>
      <name val="Verdana"/>
    </font>
    <font>
      <sz val="14.0"/>
    </font>
    <font>
      <b/>
      <sz val="14.0"/>
    </font>
    <font>
      <b/>
      <sz val="10.0"/>
    </font>
    <font>
      <sz val="10.0"/>
      <color rgb="FFFF0000"/>
    </font>
  </fonts>
  <fills count="2">
    <fill>
      <patternFill patternType="none"/>
    </fill>
    <fill>
      <patternFill patternType="lightGray"/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7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2" fillId="0" fontId="1" numFmtId="164" xfId="0" applyAlignment="1" applyBorder="1" applyFont="1" applyNumberForma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9" fillId="0" fontId="1" numFmtId="164" xfId="0" applyAlignment="1" applyBorder="1" applyFont="1" applyNumberFormat="1">
      <alignment shrinkToFit="0" wrapText="1"/>
    </xf>
    <xf borderId="11" fillId="0" fontId="5" numFmtId="0" xfId="0" applyAlignment="1" applyBorder="1" applyFont="1">
      <alignment readingOrder="0" shrinkToFit="0" wrapText="1"/>
    </xf>
    <xf borderId="4" fillId="0" fontId="1" numFmtId="164" xfId="0" applyAlignment="1" applyBorder="1" applyFont="1" applyNumberFormat="1">
      <alignment readingOrder="0" shrinkToFit="0" wrapText="1"/>
    </xf>
    <xf borderId="10" fillId="0" fontId="1" numFmtId="164" xfId="0" applyAlignment="1" applyBorder="1" applyFont="1" applyNumberFormat="1">
      <alignment shrinkToFit="0" wrapText="1"/>
    </xf>
    <xf borderId="0" fillId="0" fontId="1" numFmtId="164" xfId="0" applyAlignment="1" applyFont="1" applyNumberFormat="1">
      <alignment shrinkToFit="0" wrapText="1"/>
    </xf>
    <xf borderId="6" fillId="0" fontId="5" numFmtId="0" xfId="0" applyAlignment="1" applyBorder="1" applyFont="1">
      <alignment readingOrder="0" shrinkToFit="0" wrapText="1"/>
    </xf>
    <xf borderId="5" fillId="0" fontId="1" numFmtId="164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164" xfId="0" applyAlignment="1" applyBorder="1" applyFont="1" applyNumberFormat="1">
      <alignment shrinkToFit="0" wrapText="1"/>
    </xf>
    <xf borderId="3" fillId="0" fontId="6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10" fillId="0" fontId="7" numFmtId="165" xfId="0" applyAlignment="1" applyBorder="1" applyFont="1" applyNumberFormat="1">
      <alignment shrinkToFit="0" wrapText="1"/>
    </xf>
    <xf borderId="11" fillId="0" fontId="5" numFmtId="0" xfId="0" applyAlignment="1" applyBorder="1" applyFon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8" numFmtId="0" xfId="0" applyAlignment="1" applyFont="1">
      <alignment shrinkToFit="0" wrapText="1"/>
    </xf>
    <xf borderId="0" fillId="0" fontId="3" numFmtId="164" xfId="0" applyAlignment="1" applyFont="1" applyNumberFormat="1">
      <alignment shrinkToFit="0" wrapText="1"/>
    </xf>
    <xf borderId="9" fillId="0" fontId="1" numFmtId="165" xfId="0" applyAlignment="1" applyBorder="1" applyFont="1" applyNumberFormat="1">
      <alignment shrinkToFit="0" wrapText="1"/>
    </xf>
    <xf borderId="4" fillId="0" fontId="1" numFmtId="165" xfId="0" applyAlignment="1" applyBorder="1" applyFont="1" applyNumberFormat="1">
      <alignment shrinkToFit="0" wrapText="1"/>
    </xf>
    <xf borderId="0" fillId="0" fontId="8" numFmtId="166" xfId="0" applyAlignment="1" applyFont="1" applyNumberFormat="1">
      <alignment shrinkToFit="0" wrapText="1"/>
    </xf>
    <xf borderId="0" fillId="0" fontId="9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10" fillId="0" fontId="1" numFmtId="165" xfId="0" applyAlignment="1" applyBorder="1" applyFont="1" applyNumberFormat="1">
      <alignment shrinkToFit="0" wrapText="1"/>
    </xf>
    <xf borderId="1" fillId="0" fontId="1" numFmtId="165" xfId="0" applyAlignment="1" applyBorder="1" applyFont="1" applyNumberFormat="1">
      <alignment shrinkToFit="0" wrapText="1"/>
    </xf>
    <xf borderId="0" fillId="0" fontId="10" numFmtId="165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0" width="15.13"/>
  </cols>
  <sheetData>
    <row r="1">
      <c r="A1" s="1" t="s">
        <v>0</v>
      </c>
    </row>
    <row r="2">
      <c r="A2" s="2"/>
      <c r="B2" s="2"/>
    </row>
    <row r="3">
      <c r="A3" s="3" t="s">
        <v>1</v>
      </c>
      <c r="B3" s="4">
        <v>4600.0</v>
      </c>
      <c r="C3" s="5"/>
    </row>
    <row r="4">
      <c r="A4" s="6" t="s">
        <v>2</v>
      </c>
      <c r="B4" s="7">
        <v>70.0</v>
      </c>
      <c r="C4" s="5"/>
    </row>
    <row r="5">
      <c r="A5" s="8" t="s">
        <v>3</v>
      </c>
      <c r="B5" s="9">
        <f>B3/B4</f>
        <v>65.71428571</v>
      </c>
      <c r="C5" s="5"/>
    </row>
    <row r="6">
      <c r="A6" s="10"/>
      <c r="B6" s="10"/>
    </row>
    <row r="7">
      <c r="A7" s="3" t="s">
        <v>4</v>
      </c>
      <c r="B7" s="11">
        <f>B3</f>
        <v>4600</v>
      </c>
      <c r="C7" s="5"/>
    </row>
    <row r="8">
      <c r="A8" s="6" t="s">
        <v>2</v>
      </c>
      <c r="B8" s="7">
        <v>1125.0</v>
      </c>
      <c r="C8" s="5"/>
    </row>
    <row r="9">
      <c r="A9" s="8" t="s">
        <v>3</v>
      </c>
      <c r="B9" s="9">
        <f>B7/B8</f>
        <v>4.088888889</v>
      </c>
      <c r="C9" s="5"/>
    </row>
    <row r="10">
      <c r="A10" s="12"/>
      <c r="B10" s="12"/>
    </row>
    <row r="13">
      <c r="A13" s="1" t="s">
        <v>5</v>
      </c>
    </row>
    <row r="14">
      <c r="A14" s="1" t="s">
        <v>6</v>
      </c>
    </row>
    <row r="15">
      <c r="A15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3" width="15.13"/>
  </cols>
  <sheetData>
    <row r="1">
      <c r="A1" s="13" t="s">
        <v>8</v>
      </c>
    </row>
    <row r="2">
      <c r="A2" s="14" t="s">
        <v>9</v>
      </c>
      <c r="B2" s="14">
        <v>4600.0</v>
      </c>
      <c r="C2" s="15"/>
      <c r="D2" s="15"/>
      <c r="E2" s="15"/>
      <c r="F2" s="15"/>
    </row>
    <row r="3">
      <c r="A3" s="14" t="s">
        <v>10</v>
      </c>
      <c r="B3" s="14">
        <v>3.25</v>
      </c>
      <c r="C3" s="15"/>
      <c r="D3" s="15"/>
      <c r="E3" s="15"/>
      <c r="F3" s="15"/>
      <c r="I3" s="1" t="s">
        <v>11</v>
      </c>
    </row>
    <row r="4">
      <c r="A4" s="14" t="s">
        <v>12</v>
      </c>
      <c r="B4" s="15">
        <f>B2*B3</f>
        <v>14950</v>
      </c>
      <c r="C4" s="15"/>
      <c r="D4" s="15"/>
      <c r="E4" s="15"/>
      <c r="F4" s="15"/>
      <c r="I4" s="1">
        <v>3600.0</v>
      </c>
    </row>
    <row r="5">
      <c r="A5" s="16"/>
      <c r="B5" s="17" t="s">
        <v>13</v>
      </c>
      <c r="C5" s="17" t="s">
        <v>14</v>
      </c>
      <c r="D5" s="17" t="s">
        <v>15</v>
      </c>
      <c r="E5" s="17" t="s">
        <v>16</v>
      </c>
      <c r="F5" s="17" t="s">
        <v>17</v>
      </c>
    </row>
    <row r="6">
      <c r="A6" s="18" t="s">
        <v>18</v>
      </c>
      <c r="B6" s="19">
        <v>200.0</v>
      </c>
      <c r="C6" s="20">
        <v>2.0</v>
      </c>
      <c r="D6" s="20">
        <v>4.0</v>
      </c>
      <c r="E6" s="20">
        <v>15.0</v>
      </c>
      <c r="F6" s="21">
        <f t="shared" ref="F6:F7" si="1">E6*B6*C6+D6*B6*C6</f>
        <v>7600</v>
      </c>
    </row>
    <row r="7">
      <c r="A7" s="22" t="s">
        <v>19</v>
      </c>
      <c r="B7" s="23">
        <v>150.0</v>
      </c>
      <c r="C7" s="1">
        <v>3.0</v>
      </c>
      <c r="D7" s="1">
        <v>0.0</v>
      </c>
      <c r="E7" s="1">
        <v>12.0</v>
      </c>
      <c r="F7" s="21">
        <f t="shared" si="1"/>
        <v>5400</v>
      </c>
    </row>
    <row r="8">
      <c r="A8" s="22" t="s">
        <v>20</v>
      </c>
      <c r="B8" s="23">
        <v>100.0</v>
      </c>
      <c r="C8" s="1">
        <v>1.0</v>
      </c>
      <c r="D8" s="1">
        <v>0.0</v>
      </c>
      <c r="E8" s="1">
        <v>14.0</v>
      </c>
      <c r="F8" s="24">
        <f t="shared" ref="F8:F11" si="2">B8*E8</f>
        <v>1400</v>
      </c>
    </row>
    <row r="9">
      <c r="A9" s="22" t="s">
        <v>21</v>
      </c>
      <c r="B9" s="23">
        <v>30.0</v>
      </c>
      <c r="E9" s="1">
        <v>17.0</v>
      </c>
      <c r="F9" s="25">
        <f t="shared" si="2"/>
        <v>510</v>
      </c>
    </row>
    <row r="10">
      <c r="A10" s="22" t="s">
        <v>22</v>
      </c>
      <c r="B10" s="23">
        <v>50.0</v>
      </c>
      <c r="E10" s="1">
        <v>17.0</v>
      </c>
      <c r="F10" s="25">
        <f t="shared" si="2"/>
        <v>850</v>
      </c>
      <c r="I10">
        <f>1400/21</f>
        <v>66.66666667</v>
      </c>
    </row>
    <row r="11">
      <c r="A11" s="26" t="s">
        <v>23</v>
      </c>
      <c r="B11" s="27">
        <v>5.0</v>
      </c>
      <c r="C11" s="2"/>
      <c r="D11" s="2"/>
      <c r="E11" s="28">
        <v>17.0</v>
      </c>
      <c r="F11" s="29">
        <f t="shared" si="2"/>
        <v>85</v>
      </c>
      <c r="I11">
        <f>1400/9</f>
        <v>155.5555556</v>
      </c>
    </row>
    <row r="12">
      <c r="A12" s="30" t="s">
        <v>24</v>
      </c>
      <c r="B12" s="31"/>
      <c r="C12" s="12"/>
      <c r="D12" s="12"/>
      <c r="E12" s="12">
        <f>E6*C6+E7*C7</f>
        <v>66</v>
      </c>
      <c r="F12" s="32">
        <f>F6+F7+F9+F10+F11</f>
        <v>14445</v>
      </c>
    </row>
    <row r="13">
      <c r="A13" s="33"/>
      <c r="B13" s="5"/>
      <c r="I13">
        <f>1400/21</f>
        <v>66.66666667</v>
      </c>
    </row>
    <row r="14">
      <c r="A14" s="1" t="s">
        <v>25</v>
      </c>
      <c r="B14" s="34">
        <f>B4-F12</f>
        <v>505</v>
      </c>
    </row>
    <row r="15">
      <c r="A15" s="1" t="s">
        <v>26</v>
      </c>
      <c r="B15" s="34">
        <f>F6/2</f>
        <v>3800</v>
      </c>
      <c r="C15" s="35"/>
    </row>
    <row r="16">
      <c r="A16" s="1" t="s">
        <v>27</v>
      </c>
      <c r="B16" s="34">
        <f>F6/2</f>
        <v>3800</v>
      </c>
      <c r="C16" s="35"/>
    </row>
    <row r="19">
      <c r="A19" s="1" t="s">
        <v>28</v>
      </c>
      <c r="B19" s="1">
        <v>12.0</v>
      </c>
    </row>
    <row r="20">
      <c r="A20" s="1" t="s">
        <v>29</v>
      </c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2" width="15.13"/>
  </cols>
  <sheetData>
    <row r="1">
      <c r="A1" s="13" t="s">
        <v>30</v>
      </c>
    </row>
    <row r="2">
      <c r="A2" s="14" t="s">
        <v>31</v>
      </c>
      <c r="B2" s="14">
        <v>4600.0</v>
      </c>
      <c r="C2" s="15"/>
      <c r="D2" s="15"/>
      <c r="E2" s="15"/>
    </row>
    <row r="3">
      <c r="A3" s="14" t="s">
        <v>10</v>
      </c>
      <c r="B3" s="14">
        <v>3.25</v>
      </c>
      <c r="C3" s="15"/>
      <c r="D3" s="15"/>
      <c r="E3" s="15"/>
    </row>
    <row r="4">
      <c r="A4" s="14" t="s">
        <v>12</v>
      </c>
      <c r="B4" s="36">
        <f>B2*B3</f>
        <v>14950</v>
      </c>
      <c r="C4" s="15"/>
      <c r="D4" s="15"/>
      <c r="E4" s="15"/>
    </row>
    <row r="5">
      <c r="A5" s="16"/>
      <c r="B5" s="17" t="s">
        <v>13</v>
      </c>
      <c r="C5" s="17" t="s">
        <v>14</v>
      </c>
      <c r="D5" s="17" t="s">
        <v>32</v>
      </c>
      <c r="E5" s="17" t="s">
        <v>17</v>
      </c>
    </row>
    <row r="6">
      <c r="A6" s="18" t="s">
        <v>18</v>
      </c>
      <c r="B6" s="19">
        <v>140.0</v>
      </c>
      <c r="C6" s="20">
        <v>2.0</v>
      </c>
      <c r="D6" s="20">
        <v>35.0</v>
      </c>
      <c r="E6" s="21">
        <f t="shared" ref="E6:E8" si="1">D6*C6*B6</f>
        <v>9800</v>
      </c>
    </row>
    <row r="7">
      <c r="A7" s="22" t="s">
        <v>19</v>
      </c>
      <c r="B7" s="23">
        <v>150.0</v>
      </c>
      <c r="C7" s="1">
        <v>0.0</v>
      </c>
      <c r="D7" s="1">
        <v>0.0</v>
      </c>
      <c r="E7" s="21">
        <f t="shared" si="1"/>
        <v>0</v>
      </c>
    </row>
    <row r="8">
      <c r="A8" s="22" t="s">
        <v>20</v>
      </c>
      <c r="B8" s="23">
        <v>100.0</v>
      </c>
      <c r="C8" s="1">
        <v>0.0</v>
      </c>
      <c r="D8" s="1">
        <v>0.0</v>
      </c>
      <c r="E8" s="21">
        <f t="shared" si="1"/>
        <v>0</v>
      </c>
    </row>
    <row r="9">
      <c r="A9" s="22" t="s">
        <v>21</v>
      </c>
      <c r="B9" s="23">
        <v>30.0</v>
      </c>
      <c r="D9" s="1">
        <v>35.0</v>
      </c>
      <c r="E9" s="21">
        <f t="shared" ref="E9:E11" si="2">D9*B9</f>
        <v>1050</v>
      </c>
    </row>
    <row r="10">
      <c r="A10" s="22" t="s">
        <v>22</v>
      </c>
      <c r="B10" s="23">
        <v>100.0</v>
      </c>
      <c r="D10" s="1">
        <v>35.0</v>
      </c>
      <c r="E10" s="21">
        <f t="shared" si="2"/>
        <v>3500</v>
      </c>
    </row>
    <row r="11">
      <c r="A11" s="26" t="s">
        <v>23</v>
      </c>
      <c r="B11" s="27">
        <v>5.0</v>
      </c>
      <c r="C11" s="2"/>
      <c r="D11" s="28">
        <v>35.0</v>
      </c>
      <c r="E11" s="37">
        <f t="shared" si="2"/>
        <v>175</v>
      </c>
    </row>
    <row r="12">
      <c r="A12" s="30" t="s">
        <v>24</v>
      </c>
      <c r="B12" s="31"/>
      <c r="C12" s="12"/>
      <c r="D12" s="12"/>
      <c r="E12" s="32">
        <f>E6+E9+E10+E11</f>
        <v>14525</v>
      </c>
    </row>
    <row r="13">
      <c r="A13" s="33"/>
      <c r="B13" s="5"/>
      <c r="C13" s="1" t="s">
        <v>33</v>
      </c>
    </row>
    <row r="14">
      <c r="A14" s="22" t="s">
        <v>34</v>
      </c>
      <c r="B14" s="38">
        <f>B4-E12</f>
        <v>425</v>
      </c>
    </row>
    <row r="15">
      <c r="A15" s="22" t="s">
        <v>35</v>
      </c>
      <c r="B15" s="38">
        <f>E6/2</f>
        <v>4900</v>
      </c>
      <c r="C15" s="39">
        <f t="shared" ref="C15:C16" si="3">B15/30</f>
        <v>163.3333333</v>
      </c>
    </row>
    <row r="16">
      <c r="A16" s="40" t="s">
        <v>36</v>
      </c>
      <c r="B16" s="34">
        <f>E6/2</f>
        <v>4900</v>
      </c>
      <c r="C16" s="39">
        <f t="shared" si="3"/>
        <v>163.3333333</v>
      </c>
    </row>
    <row r="17">
      <c r="A17" s="1" t="s">
        <v>28</v>
      </c>
      <c r="B17" s="1" t="s">
        <v>37</v>
      </c>
    </row>
    <row r="19">
      <c r="A19" s="1" t="s">
        <v>38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2" width="15.13"/>
  </cols>
  <sheetData>
    <row r="1">
      <c r="A1" s="13" t="s">
        <v>39</v>
      </c>
    </row>
    <row r="2">
      <c r="A2" s="14" t="s">
        <v>10</v>
      </c>
      <c r="B2" s="14">
        <v>3.7</v>
      </c>
      <c r="C2" s="14">
        <v>4000.0</v>
      </c>
      <c r="D2" s="15"/>
      <c r="E2" s="15"/>
    </row>
    <row r="3">
      <c r="A3" s="14" t="s">
        <v>12</v>
      </c>
      <c r="B3" s="36">
        <f>C2*B2</f>
        <v>14800</v>
      </c>
      <c r="C3" s="15"/>
      <c r="D3" s="15"/>
      <c r="E3" s="15"/>
    </row>
    <row r="4">
      <c r="A4" s="16"/>
      <c r="B4" s="17" t="s">
        <v>13</v>
      </c>
      <c r="C4" s="17" t="s">
        <v>14</v>
      </c>
      <c r="D4" s="17" t="s">
        <v>40</v>
      </c>
      <c r="E4" s="17" t="s">
        <v>17</v>
      </c>
    </row>
    <row r="5">
      <c r="A5" s="18" t="s">
        <v>18</v>
      </c>
      <c r="B5" s="19">
        <v>140.0</v>
      </c>
      <c r="C5" s="20">
        <v>2.0</v>
      </c>
      <c r="D5" s="20">
        <v>30.0</v>
      </c>
      <c r="E5" s="21">
        <f>D5*C5*B5</f>
        <v>8400</v>
      </c>
    </row>
    <row r="6">
      <c r="A6" s="22" t="s">
        <v>41</v>
      </c>
      <c r="B6" s="23">
        <v>80.0</v>
      </c>
      <c r="C6" s="1">
        <v>0.0</v>
      </c>
      <c r="D6" s="1">
        <v>30.0</v>
      </c>
      <c r="E6" s="24">
        <f>D6*B6</f>
        <v>2400</v>
      </c>
    </row>
    <row r="7">
      <c r="A7" s="22" t="s">
        <v>20</v>
      </c>
      <c r="B7" s="23">
        <v>100.0</v>
      </c>
      <c r="C7" s="1">
        <v>0.0</v>
      </c>
      <c r="D7" s="1">
        <v>0.0</v>
      </c>
      <c r="E7" s="1">
        <v>0.0</v>
      </c>
    </row>
    <row r="8">
      <c r="A8" s="22" t="s">
        <v>21</v>
      </c>
      <c r="B8" s="23">
        <v>30.0</v>
      </c>
      <c r="D8" s="1">
        <v>6.0</v>
      </c>
      <c r="E8" s="25">
        <f t="shared" ref="E8:E10" si="1">D8*B8</f>
        <v>180</v>
      </c>
    </row>
    <row r="9">
      <c r="A9" s="22" t="s">
        <v>22</v>
      </c>
      <c r="B9" s="23">
        <v>100.0</v>
      </c>
      <c r="D9" s="1">
        <v>30.0</v>
      </c>
      <c r="E9" s="25">
        <f t="shared" si="1"/>
        <v>3000</v>
      </c>
    </row>
    <row r="10">
      <c r="A10" s="26" t="s">
        <v>23</v>
      </c>
      <c r="B10" s="27">
        <v>5.0</v>
      </c>
      <c r="C10" s="2"/>
      <c r="D10" s="28">
        <v>6.0</v>
      </c>
      <c r="E10" s="29">
        <f t="shared" si="1"/>
        <v>30</v>
      </c>
    </row>
    <row r="11">
      <c r="A11" s="30" t="s">
        <v>24</v>
      </c>
      <c r="B11" s="31"/>
      <c r="C11" s="12"/>
      <c r="D11" s="12"/>
      <c r="E11" s="32">
        <f>E5+E6+E8+E9+E10</f>
        <v>14010</v>
      </c>
    </row>
    <row r="12">
      <c r="A12" s="33"/>
      <c r="B12" s="5"/>
      <c r="C12" s="1" t="s">
        <v>42</v>
      </c>
    </row>
    <row r="13">
      <c r="A13" s="22" t="s">
        <v>43</v>
      </c>
      <c r="B13" s="38">
        <f>B3-E11</f>
        <v>790</v>
      </c>
    </row>
    <row r="14">
      <c r="A14" s="22" t="s">
        <v>44</v>
      </c>
      <c r="B14" s="38">
        <f>E5/2</f>
        <v>4200</v>
      </c>
      <c r="C14" s="41">
        <f>B14/D5</f>
        <v>140</v>
      </c>
    </row>
    <row r="15">
      <c r="A15" s="40" t="s">
        <v>36</v>
      </c>
      <c r="B15" s="34">
        <f>E5/2</f>
        <v>4200</v>
      </c>
      <c r="C15" s="41">
        <f>B15/D5</f>
        <v>140</v>
      </c>
    </row>
    <row r="17">
      <c r="A17" s="1" t="s">
        <v>28</v>
      </c>
      <c r="B17" s="1" t="s">
        <v>37</v>
      </c>
    </row>
    <row r="19">
      <c r="A19" s="1" t="s">
        <v>38</v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3.88"/>
    <col customWidth="1" min="2" max="22" width="15.13"/>
  </cols>
  <sheetData>
    <row r="1">
      <c r="A1" s="13" t="s">
        <v>45</v>
      </c>
    </row>
    <row r="2">
      <c r="A2" s="14" t="s">
        <v>10</v>
      </c>
      <c r="B2" s="14">
        <v>3.25</v>
      </c>
      <c r="C2" s="15"/>
      <c r="D2" s="15"/>
      <c r="E2" s="15"/>
    </row>
    <row r="3">
      <c r="A3" s="14" t="s">
        <v>12</v>
      </c>
      <c r="B3" s="15">
        <f>producao!B3*B2</f>
        <v>14950</v>
      </c>
      <c r="C3" s="15"/>
      <c r="D3" s="15"/>
      <c r="E3" s="15"/>
    </row>
    <row r="4">
      <c r="A4" s="16"/>
      <c r="B4" s="17" t="s">
        <v>13</v>
      </c>
      <c r="C4" s="17" t="s">
        <v>14</v>
      </c>
      <c r="D4" s="17" t="s">
        <v>40</v>
      </c>
      <c r="E4" s="17" t="s">
        <v>17</v>
      </c>
    </row>
    <row r="5">
      <c r="A5" s="18" t="s">
        <v>18</v>
      </c>
      <c r="B5" s="19">
        <v>160.0</v>
      </c>
      <c r="C5" s="20">
        <v>2.0</v>
      </c>
      <c r="D5" s="20">
        <v>30.0</v>
      </c>
      <c r="E5" s="37">
        <f>D5*C5*B5</f>
        <v>9600</v>
      </c>
    </row>
    <row r="6">
      <c r="A6" s="22" t="s">
        <v>41</v>
      </c>
      <c r="B6" s="23">
        <v>0.0</v>
      </c>
      <c r="C6" s="1">
        <v>6.0</v>
      </c>
      <c r="D6" s="1">
        <v>14.0</v>
      </c>
      <c r="E6" s="42">
        <f>D6*B6</f>
        <v>0</v>
      </c>
    </row>
    <row r="7">
      <c r="A7" s="22" t="s">
        <v>20</v>
      </c>
      <c r="B7" s="23">
        <v>100.0</v>
      </c>
      <c r="C7" s="1">
        <v>0.0</v>
      </c>
      <c r="D7" s="1">
        <v>0.0</v>
      </c>
      <c r="E7" s="1">
        <v>0.0</v>
      </c>
    </row>
    <row r="8">
      <c r="A8" s="22" t="s">
        <v>21</v>
      </c>
      <c r="B8" s="23">
        <v>30.0</v>
      </c>
      <c r="D8" s="1">
        <v>30.0</v>
      </c>
      <c r="E8" s="34">
        <f t="shared" ref="E8:E10" si="1">D8*B8</f>
        <v>900</v>
      </c>
    </row>
    <row r="9">
      <c r="A9" s="22" t="s">
        <v>22</v>
      </c>
      <c r="B9" s="23">
        <v>50.0</v>
      </c>
      <c r="D9" s="1">
        <v>30.0</v>
      </c>
      <c r="E9" s="34">
        <f t="shared" si="1"/>
        <v>1500</v>
      </c>
    </row>
    <row r="10">
      <c r="A10" s="26" t="s">
        <v>23</v>
      </c>
      <c r="B10" s="27">
        <v>5.0</v>
      </c>
      <c r="C10" s="2"/>
      <c r="D10" s="28">
        <v>30.0</v>
      </c>
      <c r="E10" s="43">
        <f t="shared" si="1"/>
        <v>150</v>
      </c>
    </row>
    <row r="11">
      <c r="A11" s="30" t="s">
        <v>24</v>
      </c>
      <c r="B11" s="31"/>
      <c r="C11" s="12"/>
      <c r="D11" s="12"/>
      <c r="E11" s="32">
        <f>E5+E6+E8+E9+E10</f>
        <v>12150</v>
      </c>
    </row>
    <row r="12">
      <c r="A12" s="33"/>
      <c r="B12" s="5"/>
    </row>
    <row r="13">
      <c r="A13" s="1" t="s">
        <v>25</v>
      </c>
      <c r="B13" s="44">
        <f>B3-E11</f>
        <v>2800</v>
      </c>
      <c r="C13" s="1" t="s">
        <v>46</v>
      </c>
    </row>
    <row r="14">
      <c r="A14" s="1" t="s">
        <v>26</v>
      </c>
      <c r="B14" s="34">
        <f>E5/2</f>
        <v>4800</v>
      </c>
      <c r="C14" s="41">
        <f>B14/D5</f>
        <v>160</v>
      </c>
    </row>
    <row r="15">
      <c r="A15" s="1" t="s">
        <v>27</v>
      </c>
      <c r="B15" s="34">
        <f>E5/2</f>
        <v>4800</v>
      </c>
      <c r="C15" s="41">
        <f>B15/D5</f>
        <v>160</v>
      </c>
    </row>
    <row r="18">
      <c r="A18" s="1" t="s">
        <v>28</v>
      </c>
      <c r="B18" s="1" t="s">
        <v>37</v>
      </c>
    </row>
    <row r="20">
      <c r="A20" s="1" t="s">
        <v>38</v>
      </c>
    </row>
  </sheetData>
  <mergeCells count="1">
    <mergeCell ref="A1:E1"/>
  </mergeCells>
  <drawing r:id="rId1"/>
</worksheet>
</file>