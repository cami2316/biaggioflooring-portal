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<sst xmlns="http://schemas.openxmlformats.org/spreadsheetml/2006/main" count="50" uniqueCount="50">
  <si>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</si>
  <si>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</si>
  <si>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</si>
  <si>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</si>
  <si>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</si>
  <si>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</si>
  <si>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</si>
  <si>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</si>
  <si>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</si>
  <si>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</si>
  <si>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troy003</t>
  </si>
  <si>
    <t>Customer Information</t>
  </si>
  <si>
    <t>Name:</t>
  </si>
  <si>
    <t>TROY</t>
  </si>
  <si>
    <t>Phone:</t>
  </si>
  <si>
    <t>Address:</t>
  </si>
  <si>
    <t>950 Aragon Ave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</si>
  <si>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</si>
  <si>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</si>
  <si>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</si>
  <si>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</si>
  <si>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</si>
  <si>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</si>
  <si>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</si>
  <si>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</si>
  <si>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Vinyl Plank Installation Only</t>
  </si>
  <si>
    <t>cement board ( floor) Installation only</t>
  </si>
  <si>
    <t>cement board (wall) Installation Only</t>
  </si>
  <si>
    <t>Master</t>
  </si>
  <si>
    <t xml:space="preserve">basic installation ceramic tile floor ( woodlook or up to 24x24) </t>
  </si>
  <si>
    <t>showerfloor( mortar bed , installing) master</t>
  </si>
  <si>
    <t>walls (up to 24X24 ) master shower</t>
  </si>
  <si>
    <t xml:space="preserve">add work around  windows </t>
  </si>
  <si>
    <t>niche( framing and installing )( only installing niche $75) add one more niche</t>
  </si>
  <si>
    <t>Guest Bath</t>
  </si>
  <si>
    <t>Guest Bath Floor  (12x24 ) Intallation Only</t>
  </si>
  <si>
    <t>walls guest bathroons wall (12X24) installation Only ( adding 13 sqft)</t>
  </si>
  <si>
    <t>niche( framing and installing )( only installing niche $75)</t>
  </si>
  <si>
    <t>Laundry (12X12) installation only</t>
  </si>
  <si>
    <t>self level bag applications</t>
  </si>
  <si>
    <t>grider 9hours and 26 minuts @60/hour</t>
  </si>
  <si>
    <t>Subtotal</t>
  </si>
  <si>
    <t>paid on 02/20</t>
  </si>
  <si>
    <t>please pay on 03/05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</si>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</sst>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43889.0</v>
      </c>
    </row>
    <row r="3">
      <c r="A3" s="3" t="s">
        <v>4</v>
      </c>
      <c r="F3" s="6" t="s">
        <v>5</v>
      </c>
      <c r="H3" s="3">
        <v>2002.0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1618.0</v>
      </c>
      <c r="G15" s="29">
        <v>1.5</v>
      </c>
      <c r="H15" s="30">
        <f t="shared" ref="H15:H17" si="1">G15*F15</f>
        <v>2427</v>
      </c>
      <c r="I15" s="12"/>
    </row>
    <row r="16" ht="15.0" customHeight="1">
      <c r="A16" s="31" t="s">
        <v>26</v>
      </c>
      <c r="E16" s="21"/>
      <c r="F16" s="32">
        <v>196.0</v>
      </c>
      <c r="G16" s="32">
        <v>2.0</v>
      </c>
      <c r="H16" s="33">
        <f t="shared" si="1"/>
        <v>392</v>
      </c>
      <c r="I16" s="12"/>
    </row>
    <row r="17" ht="15.0" customHeight="1">
      <c r="A17" s="31" t="s">
        <v>27</v>
      </c>
      <c r="E17" s="21"/>
      <c r="F17" s="32">
        <v>195.0</v>
      </c>
      <c r="G17" s="32">
        <v>2.0</v>
      </c>
      <c r="H17" s="33">
        <f t="shared" si="1"/>
        <v>390</v>
      </c>
      <c r="I17" s="12"/>
    </row>
    <row r="18" ht="15.0" customHeight="1">
      <c r="A18" s="31" t="s">
        <v>28</v>
      </c>
      <c r="E18" s="21"/>
      <c r="F18" s="32"/>
      <c r="G18" s="32"/>
      <c r="H18" s="33"/>
      <c r="I18" s="12"/>
    </row>
    <row r="19" ht="15.0" customHeight="1">
      <c r="A19" s="31" t="s">
        <v>29</v>
      </c>
      <c r="E19" s="21"/>
      <c r="F19" s="32">
        <v>90.0</v>
      </c>
      <c r="G19" s="32">
        <v>2.8</v>
      </c>
      <c r="H19" s="33">
        <f t="shared" ref="H19:H23" si="2">G19*F19</f>
        <v>252</v>
      </c>
      <c r="I19" s="12"/>
    </row>
    <row r="20" ht="15.0" customHeight="1">
      <c r="A20" s="31" t="s">
        <v>30</v>
      </c>
      <c r="E20" s="21"/>
      <c r="F20" s="32">
        <v>20.0</v>
      </c>
      <c r="G20" s="32">
        <v>12.0</v>
      </c>
      <c r="H20" s="32">
        <f t="shared" si="2"/>
        <v>240</v>
      </c>
      <c r="I20" s="12"/>
    </row>
    <row r="21" ht="15.0" customHeight="1">
      <c r="A21" s="31" t="s">
        <v>31</v>
      </c>
      <c r="E21" s="21"/>
      <c r="F21" s="32">
        <v>125.0</v>
      </c>
      <c r="G21" s="32">
        <v>8.5</v>
      </c>
      <c r="H21" s="32">
        <f t="shared" si="2"/>
        <v>1062.5</v>
      </c>
      <c r="I21" s="12"/>
    </row>
    <row r="22" ht="15.0" customHeight="1">
      <c r="A22" s="31" t="s">
        <v>32</v>
      </c>
      <c r="E22" s="21"/>
      <c r="F22" s="32">
        <v>1.0</v>
      </c>
      <c r="G22" s="32">
        <v>75.0</v>
      </c>
      <c r="H22" s="33">
        <f t="shared" si="2"/>
        <v>75</v>
      </c>
      <c r="I22" s="12"/>
    </row>
    <row r="23" ht="15.0" customHeight="1">
      <c r="A23" s="31" t="s">
        <v>33</v>
      </c>
      <c r="E23" s="21"/>
      <c r="F23" s="32">
        <v>2.0</v>
      </c>
      <c r="G23" s="32">
        <v>150.0</v>
      </c>
      <c r="H23" s="32">
        <f t="shared" si="2"/>
        <v>300</v>
      </c>
      <c r="I23" s="12"/>
    </row>
    <row r="24" ht="15.0" customHeight="1">
      <c r="A24" s="31" t="s">
        <v>34</v>
      </c>
      <c r="E24" s="21"/>
      <c r="F24" s="32"/>
      <c r="G24" s="32"/>
      <c r="H24" s="32"/>
      <c r="I24" s="12"/>
    </row>
    <row r="25" ht="15.0" customHeight="1">
      <c r="A25" s="31" t="s">
        <v>35</v>
      </c>
      <c r="E25" s="21"/>
      <c r="F25" s="32">
        <v>60.0</v>
      </c>
      <c r="G25" s="32">
        <v>2.8</v>
      </c>
      <c r="H25" s="32">
        <f t="shared" ref="H25:H27" si="3">G25*F25</f>
        <v>168</v>
      </c>
      <c r="I25" s="12"/>
    </row>
    <row r="26" ht="15.0" customHeight="1">
      <c r="A26" s="31" t="s">
        <v>36</v>
      </c>
      <c r="E26" s="21"/>
      <c r="F26" s="32">
        <v>83.0</v>
      </c>
      <c r="G26" s="32">
        <v>8.5</v>
      </c>
      <c r="H26" s="33">
        <f t="shared" si="3"/>
        <v>705.5</v>
      </c>
      <c r="I26" s="12"/>
    </row>
    <row r="27" ht="15.0" customHeight="1">
      <c r="A27" s="31" t="s">
        <v>37</v>
      </c>
      <c r="E27" s="21"/>
      <c r="F27" s="32">
        <v>1.0</v>
      </c>
      <c r="G27" s="32">
        <v>150.0</v>
      </c>
      <c r="H27" s="33">
        <f t="shared" si="3"/>
        <v>150</v>
      </c>
      <c r="I27" s="12"/>
    </row>
    <row r="28" ht="15.0" customHeight="1">
      <c r="A28" s="31" t="s">
        <v>38</v>
      </c>
      <c r="E28" s="21"/>
      <c r="F28" s="32">
        <v>46.0</v>
      </c>
      <c r="G28" s="32">
        <v>2.8</v>
      </c>
      <c r="H28" s="33">
        <f t="shared" ref="H28:H29" si="4">F28*G28</f>
        <v>128.8</v>
      </c>
      <c r="I28" s="12"/>
    </row>
    <row r="29" ht="15.0" customHeight="1">
      <c r="A29" s="31" t="s">
        <v>39</v>
      </c>
      <c r="E29" s="21"/>
      <c r="F29" s="32">
        <v>3.0</v>
      </c>
      <c r="G29" s="32">
        <v>25.0</v>
      </c>
      <c r="H29" s="33">
        <f t="shared" si="4"/>
        <v>75</v>
      </c>
      <c r="I29" s="12"/>
    </row>
    <row r="30" ht="15.0" customHeight="1">
      <c r="A30" s="31" t="s">
        <v>40</v>
      </c>
      <c r="E30" s="21"/>
      <c r="F30" s="34">
        <v>9.43</v>
      </c>
      <c r="G30" s="34">
        <v>60.0</v>
      </c>
      <c r="H30" s="33">
        <f>G30*F30</f>
        <v>565.8</v>
      </c>
      <c r="I30" s="12"/>
    </row>
    <row r="31" ht="15.0" customHeight="1">
      <c r="A31" s="12"/>
      <c r="E31" s="21"/>
      <c r="F31" s="35" t="s">
        <v>41</v>
      </c>
      <c r="G31" s="11"/>
      <c r="H31" s="33">
        <f>H15+H16+H17+H19+H20+H21+H22+H23+H25+H26+H27+H28+H29+H30</f>
        <v>6931.6</v>
      </c>
      <c r="I31" s="12"/>
    </row>
    <row r="32" ht="15.0" customHeight="1">
      <c r="A32" s="36"/>
      <c r="B32" s="8"/>
      <c r="C32" s="8"/>
      <c r="D32" s="8"/>
      <c r="E32" s="25"/>
      <c r="F32" s="37" t="s">
        <v>42</v>
      </c>
      <c r="G32" s="11"/>
      <c r="H32" s="34">
        <v>3015.15</v>
      </c>
      <c r="I32" s="12"/>
    </row>
    <row r="33">
      <c r="D33" s="21"/>
      <c r="E33" s="38"/>
      <c r="F33" s="39"/>
      <c r="G33" s="10"/>
      <c r="H33" s="40"/>
      <c r="I33" s="12"/>
    </row>
    <row r="34">
      <c r="D34" s="21"/>
      <c r="E34" s="41" t="s">
        <v>43</v>
      </c>
      <c r="F34" s="42"/>
      <c r="G34" s="43"/>
      <c r="H34" s="44">
        <f>H31-H32</f>
        <v>3916.45</v>
      </c>
      <c r="I34" s="12"/>
    </row>
    <row r="35">
      <c r="A35" s="15"/>
      <c r="B35" s="15"/>
      <c r="C35" s="15"/>
      <c r="D35" s="17"/>
      <c r="E35" s="39" t="s">
        <v>44</v>
      </c>
      <c r="F35" s="10"/>
      <c r="G35" s="10"/>
      <c r="H35" s="45"/>
      <c r="I35" s="12"/>
    </row>
    <row r="36">
      <c r="E36" s="15"/>
      <c r="F36" s="15"/>
      <c r="G36" s="15"/>
      <c r="H36" s="15"/>
    </row>
    <row r="37">
      <c r="A37" s="3" t="s">
        <v>45</v>
      </c>
    </row>
    <row r="38">
      <c r="A38" s="3" t="s">
        <v>46</v>
      </c>
    </row>
    <row r="39">
      <c r="A39" s="3" t="s">
        <v>47</v>
      </c>
    </row>
    <row r="41">
      <c r="A41" s="46" t="s">
        <v>48</v>
      </c>
    </row>
    <row r="42">
      <c r="A42" s="47" t="s">
        <v>49</v>
      </c>
    </row>
    <row r="43">
      <c r="A43" s="48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E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