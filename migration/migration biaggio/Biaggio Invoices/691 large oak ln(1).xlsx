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<sst xmlns="http://schemas.openxmlformats.org/spreadsheetml/2006/main" count="58" uniqueCount="58">
  <si>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</si>
  <si>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</si>
  <si>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</si>
  <si>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</si>
  <si>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</si>
  <si>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</si>
  <si>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</si>
  <si>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</si>
  <si>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</si>
  <si>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</si>
  <si>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</si>
  <si>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</si>
  <si>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</si>
  <si>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</si>
  <si>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</si>
  <si>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</si>
  <si>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691 Large Oak ln</t>
  </si>
  <si>
    <t>Cell:</t>
  </si>
  <si>
    <t>City, St. Zip:</t>
  </si>
  <si>
    <t>winter Garden</t>
  </si>
  <si>
    <t>Email:</t>
  </si>
  <si>
    <t>Description</t>
  </si>
  <si>
    <t>Qty</t>
  </si>
  <si>
    <t>Price</t>
  </si>
  <si>
    <t>Amount</t>
  </si>
  <si>
    <t>Engineered Wood: Installation Only</t>
  </si>
  <si>
    <t>Master( wall may need prep)</t>
  </si>
  <si>
    <t>basic installation faux marble carrara(12x24) ( install will be done with thinset)</t>
  </si>
  <si>
    <t xml:space="preserve">showerfloor( mortar bed , installing)  hex marble carrara master </t>
  </si>
  <si>
    <t>walls 3x6 carrara marble wall) master shower( cement board not )included</t>
  </si>
  <si>
    <t>niche (marble)</t>
  </si>
  <si>
    <t>walking shower master (adjust l8near drain)</t>
  </si>
  <si>
    <t>bench marble</t>
  </si>
  <si>
    <t xml:space="preserve"> Bath 02</t>
  </si>
  <si>
    <t>Bath Floor  ( hexagonal mosaic ) Intallation Only</t>
  </si>
  <si>
    <t xml:space="preserve">walls  bathroons wall (up to 24x24) installation Only </t>
  </si>
  <si>
    <t xml:space="preserve">showerfloor( mortar bed , installing) </t>
  </si>
  <si>
    <t xml:space="preserve">curb/ walking shower </t>
  </si>
  <si>
    <t>niche( framing and installing )( only installing niche $120)</t>
  </si>
  <si>
    <t>mosaic around walls through nich</t>
  </si>
  <si>
    <t>guest bath</t>
  </si>
  <si>
    <t>cement board</t>
  </si>
  <si>
    <t>floor basic installation 7x20</t>
  </si>
  <si>
    <t>niche</t>
  </si>
  <si>
    <t>mosaic</t>
  </si>
  <si>
    <t>wall( 3x12)</t>
  </si>
  <si>
    <t>laundry</t>
  </si>
  <si>
    <t xml:space="preserve">wine room </t>
  </si>
  <si>
    <t>paper protection on the house</t>
  </si>
  <si>
    <t>self level clip</t>
  </si>
  <si>
    <t>total</t>
  </si>
  <si>
    <t>please pay at 06/12/2023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</si>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</sst>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4.0"/>
    </font>
    <font>
      <b/>
      <sz val="12.0"/>
    </font>
    <font>
      <b/>
      <sz val="16.0"/>
    </font>
    <font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5" fillId="0" fontId="7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9" numFmtId="0" xfId="0" applyAlignment="1" applyBorder="1" applyFill="1" applyFont="1">
      <alignment readingOrder="0" shrinkToFit="0" wrapText="1"/>
    </xf>
    <xf borderId="2" fillId="3" fontId="9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45084.0</v>
      </c>
    </row>
    <row r="3">
      <c r="A3" s="3" t="s">
        <v>4</v>
      </c>
      <c r="F3" s="6" t="s">
        <v>5</v>
      </c>
      <c r="H3" s="3">
        <v>2361.0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 t="s">
        <v>10</v>
      </c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B15" s="15"/>
      <c r="C15" s="15"/>
      <c r="D15" s="15"/>
      <c r="E15" s="17"/>
      <c r="F15" s="29">
        <v>2196.0</v>
      </c>
      <c r="G15" s="29">
        <v>2.45</v>
      </c>
      <c r="H15" s="30">
        <f>G15*F15</f>
        <v>5380.2</v>
      </c>
      <c r="I15" s="12"/>
    </row>
    <row r="16" ht="15.0" customHeight="1">
      <c r="A16" s="31" t="s">
        <v>26</v>
      </c>
      <c r="E16" s="21"/>
      <c r="F16" s="32"/>
      <c r="G16" s="32"/>
      <c r="H16" s="33"/>
      <c r="I16" s="12"/>
    </row>
    <row r="17" ht="15.0" customHeight="1">
      <c r="A17" s="31" t="s">
        <v>27</v>
      </c>
      <c r="E17" s="21"/>
      <c r="F17" s="32">
        <v>111.0</v>
      </c>
      <c r="G17" s="32">
        <v>4.4</v>
      </c>
      <c r="H17" s="33">
        <f t="shared" ref="H17:H20" si="1">G17*F17</f>
        <v>488.4</v>
      </c>
      <c r="I17" s="12"/>
    </row>
    <row r="18" ht="15.0" customHeight="1">
      <c r="A18" s="31" t="s">
        <v>28</v>
      </c>
      <c r="E18" s="21"/>
      <c r="F18" s="32">
        <v>32.0</v>
      </c>
      <c r="G18" s="32">
        <v>35.0</v>
      </c>
      <c r="H18" s="32">
        <f t="shared" si="1"/>
        <v>1120</v>
      </c>
      <c r="I18" s="12"/>
    </row>
    <row r="19" ht="15.0" customHeight="1">
      <c r="A19" s="31" t="s">
        <v>29</v>
      </c>
      <c r="E19" s="21"/>
      <c r="F19" s="32">
        <v>128.0</v>
      </c>
      <c r="G19" s="32">
        <v>16.0</v>
      </c>
      <c r="H19" s="32">
        <f t="shared" si="1"/>
        <v>2048</v>
      </c>
      <c r="I19" s="12"/>
    </row>
    <row r="20" ht="15.0" customHeight="1">
      <c r="A20" s="31" t="s">
        <v>30</v>
      </c>
      <c r="E20" s="21"/>
      <c r="F20" s="32">
        <v>1.0</v>
      </c>
      <c r="G20" s="32">
        <v>240.0</v>
      </c>
      <c r="H20" s="32">
        <f t="shared" si="1"/>
        <v>240</v>
      </c>
      <c r="I20" s="12"/>
    </row>
    <row r="21" ht="15.0" customHeight="1">
      <c r="A21" s="31" t="s">
        <v>31</v>
      </c>
      <c r="E21" s="21"/>
      <c r="F21" s="32">
        <v>1.0</v>
      </c>
      <c r="G21" s="32">
        <v>150.0</v>
      </c>
      <c r="H21" s="33">
        <f>F21*G21</f>
        <v>150</v>
      </c>
      <c r="I21" s="12"/>
    </row>
    <row r="22" ht="15.0" customHeight="1">
      <c r="A22" s="31" t="s">
        <v>32</v>
      </c>
      <c r="E22" s="21"/>
      <c r="F22" s="32">
        <v>1.0</v>
      </c>
      <c r="G22" s="32">
        <v>200.0</v>
      </c>
      <c r="H22" s="32">
        <f>G22*F22</f>
        <v>200</v>
      </c>
      <c r="I22" s="12"/>
    </row>
    <row r="23" ht="15.0" customHeight="1">
      <c r="A23" s="31" t="s">
        <v>33</v>
      </c>
      <c r="E23" s="21"/>
      <c r="F23" s="32"/>
      <c r="G23" s="32"/>
      <c r="H23" s="32"/>
      <c r="I23" s="12"/>
    </row>
    <row r="24" ht="15.0" customHeight="1">
      <c r="A24" s="31" t="s">
        <v>34</v>
      </c>
      <c r="E24" s="21"/>
      <c r="F24" s="32">
        <v>61.0</v>
      </c>
      <c r="G24" s="32">
        <v>3.8</v>
      </c>
      <c r="H24" s="32">
        <f t="shared" ref="H24:H26" si="2">G24*F24</f>
        <v>231.8</v>
      </c>
      <c r="I24" s="12"/>
    </row>
    <row r="25" ht="15.0" customHeight="1">
      <c r="A25" s="31" t="s">
        <v>35</v>
      </c>
      <c r="E25" s="21"/>
      <c r="F25" s="32">
        <v>120.0</v>
      </c>
      <c r="G25" s="32">
        <v>12.0</v>
      </c>
      <c r="H25" s="33">
        <f t="shared" si="2"/>
        <v>1440</v>
      </c>
      <c r="I25" s="12"/>
    </row>
    <row r="26" ht="15.0" customHeight="1">
      <c r="A26" s="31" t="s">
        <v>36</v>
      </c>
      <c r="E26" s="21"/>
      <c r="F26" s="32">
        <v>13.0</v>
      </c>
      <c r="G26" s="32">
        <v>30.0</v>
      </c>
      <c r="H26" s="33">
        <f t="shared" si="2"/>
        <v>390</v>
      </c>
      <c r="I26" s="12"/>
    </row>
    <row r="27" ht="15.0" customHeight="1">
      <c r="A27" s="31" t="s">
        <v>37</v>
      </c>
      <c r="E27" s="21"/>
      <c r="F27" s="32">
        <v>1.0</v>
      </c>
      <c r="G27" s="32">
        <v>1.0</v>
      </c>
      <c r="H27" s="32">
        <v>100.0</v>
      </c>
      <c r="I27" s="12"/>
    </row>
    <row r="28" ht="15.0" customHeight="1">
      <c r="A28" s="31" t="s">
        <v>38</v>
      </c>
      <c r="E28" s="21"/>
      <c r="F28" s="32">
        <v>1.0</v>
      </c>
      <c r="G28" s="32">
        <v>120.0</v>
      </c>
      <c r="H28" s="33">
        <f>G28*F28</f>
        <v>120</v>
      </c>
      <c r="I28" s="12"/>
    </row>
    <row r="29" ht="15.0" customHeight="1">
      <c r="A29" s="31" t="s">
        <v>39</v>
      </c>
      <c r="E29" s="21"/>
      <c r="F29" s="32">
        <v>1.0</v>
      </c>
      <c r="G29" s="32">
        <v>400.0</v>
      </c>
      <c r="H29" s="32">
        <v>400.0</v>
      </c>
      <c r="I29" s="12"/>
    </row>
    <row r="30" ht="15.0" customHeight="1">
      <c r="A30" s="31"/>
      <c r="E30" s="21"/>
      <c r="F30" s="32"/>
      <c r="G30" s="32"/>
      <c r="H30" s="33">
        <f>G30*F30</f>
        <v>0</v>
      </c>
      <c r="I30" s="12"/>
    </row>
    <row r="31" ht="15.0" customHeight="1">
      <c r="A31" s="31" t="s">
        <v>40</v>
      </c>
      <c r="E31" s="21"/>
      <c r="F31" s="32"/>
      <c r="G31" s="32"/>
      <c r="H31" s="33"/>
      <c r="I31" s="12"/>
    </row>
    <row r="32" ht="15.0" customHeight="1">
      <c r="A32" s="31" t="s">
        <v>41</v>
      </c>
      <c r="E32" s="21"/>
      <c r="F32" s="32">
        <v>66.0</v>
      </c>
      <c r="G32" s="32">
        <v>2.5</v>
      </c>
      <c r="H32" s="33">
        <f t="shared" ref="H32:H33" si="3">G32*F32</f>
        <v>165</v>
      </c>
      <c r="I32" s="12"/>
    </row>
    <row r="33" ht="15.0" customHeight="1">
      <c r="A33" s="31" t="s">
        <v>42</v>
      </c>
      <c r="E33" s="21"/>
      <c r="F33" s="32">
        <v>66.0</v>
      </c>
      <c r="G33" s="32">
        <v>3.5</v>
      </c>
      <c r="H33" s="33">
        <f t="shared" si="3"/>
        <v>231</v>
      </c>
      <c r="I33" s="12"/>
    </row>
    <row r="34" ht="15.0" customHeight="1">
      <c r="A34" s="31" t="s">
        <v>43</v>
      </c>
      <c r="E34" s="21"/>
      <c r="F34" s="32">
        <v>1.0</v>
      </c>
      <c r="G34" s="32">
        <v>120.0</v>
      </c>
      <c r="H34" s="32">
        <v>120.0</v>
      </c>
      <c r="I34" s="12"/>
    </row>
    <row r="35" ht="15.0" customHeight="1">
      <c r="A35" s="31" t="s">
        <v>44</v>
      </c>
      <c r="E35" s="21"/>
      <c r="F35" s="32">
        <v>1.0</v>
      </c>
      <c r="G35" s="32">
        <v>200.0</v>
      </c>
      <c r="H35" s="33">
        <f t="shared" ref="H35:H36" si="4">F35*G35</f>
        <v>200</v>
      </c>
      <c r="I35" s="12"/>
    </row>
    <row r="36" ht="15.0" customHeight="1">
      <c r="A36" s="31" t="s">
        <v>45</v>
      </c>
      <c r="E36" s="21"/>
      <c r="F36" s="32">
        <v>90.0</v>
      </c>
      <c r="G36" s="32">
        <v>12.0</v>
      </c>
      <c r="H36" s="33">
        <f t="shared" si="4"/>
        <v>1080</v>
      </c>
      <c r="I36" s="12"/>
    </row>
    <row r="37" ht="15.0" customHeight="1">
      <c r="A37" s="31"/>
      <c r="E37" s="21"/>
      <c r="F37" s="32"/>
      <c r="G37" s="32"/>
      <c r="H37" s="33"/>
      <c r="I37" s="12"/>
    </row>
    <row r="38" ht="15.0" customHeight="1">
      <c r="A38" s="34" t="s">
        <v>46</v>
      </c>
      <c r="E38" s="21"/>
      <c r="F38" s="35">
        <v>87.0</v>
      </c>
      <c r="G38" s="35">
        <v>3.5</v>
      </c>
      <c r="H38" s="21">
        <f t="shared" ref="H38:H39" si="5">G38*F38</f>
        <v>304.5</v>
      </c>
      <c r="I38" s="12"/>
    </row>
    <row r="39" ht="15.0" customHeight="1">
      <c r="A39" s="31" t="s">
        <v>47</v>
      </c>
      <c r="E39" s="21"/>
      <c r="F39" s="35">
        <v>139.0</v>
      </c>
      <c r="G39" s="35">
        <v>3.6</v>
      </c>
      <c r="H39" s="21">
        <f t="shared" si="5"/>
        <v>500.4</v>
      </c>
      <c r="I39" s="12"/>
    </row>
    <row r="40" ht="15.0" customHeight="1">
      <c r="A40" s="31"/>
      <c r="E40" s="21"/>
      <c r="F40" s="35"/>
      <c r="G40" s="35"/>
      <c r="H40" s="21"/>
      <c r="I40" s="12"/>
    </row>
    <row r="41" ht="15.0" customHeight="1">
      <c r="A41" s="31" t="s">
        <v>48</v>
      </c>
      <c r="E41" s="21"/>
      <c r="F41" s="35">
        <v>2660.0</v>
      </c>
      <c r="G41" s="35">
        <v>0.2</v>
      </c>
      <c r="H41" s="21">
        <f>G41*F41</f>
        <v>532</v>
      </c>
      <c r="I41" s="12"/>
    </row>
    <row r="42" ht="15.0" customHeight="1">
      <c r="A42" s="31" t="s">
        <v>49</v>
      </c>
      <c r="E42" s="21"/>
      <c r="F42" s="35">
        <v>2.0</v>
      </c>
      <c r="G42" s="35">
        <v>130.0</v>
      </c>
      <c r="H42" s="35">
        <v>260.0</v>
      </c>
      <c r="I42" s="12"/>
    </row>
    <row r="43" ht="15.0" customHeight="1">
      <c r="A43" s="36"/>
      <c r="E43" s="21"/>
      <c r="F43" s="35"/>
      <c r="G43" s="35"/>
      <c r="H43" s="21"/>
      <c r="I43" s="12"/>
    </row>
    <row r="44" ht="15.0" customHeight="1">
      <c r="A44" s="37"/>
      <c r="B44" s="8"/>
      <c r="C44" s="8"/>
      <c r="D44" s="8"/>
      <c r="E44" s="25"/>
      <c r="F44" s="38" t="s">
        <v>50</v>
      </c>
      <c r="G44" s="11"/>
      <c r="H44" s="39">
        <f>H15+H17+H18+H19+H20+H21+H22+H24+H25+H26+H27+H28+H29+H32+H33+H34+H35+H36+H38+H39+H41+H42</f>
        <v>15701.3</v>
      </c>
      <c r="I44" s="12"/>
    </row>
    <row r="45">
      <c r="D45" s="21"/>
      <c r="E45" s="40"/>
      <c r="F45" s="41"/>
      <c r="G45" s="10"/>
      <c r="H45" s="42"/>
      <c r="I45" s="12"/>
    </row>
    <row r="46">
      <c r="D46" s="21"/>
      <c r="E46" s="43" t="s">
        <v>51</v>
      </c>
      <c r="F46" s="44"/>
      <c r="G46" s="45"/>
      <c r="H46" s="46">
        <v>7700.0</v>
      </c>
      <c r="I46" s="12"/>
    </row>
    <row r="47">
      <c r="A47" s="15"/>
      <c r="B47" s="15"/>
      <c r="C47" s="15"/>
      <c r="D47" s="17"/>
      <c r="E47" s="41" t="s">
        <v>52</v>
      </c>
      <c r="F47" s="10"/>
      <c r="G47" s="10"/>
      <c r="H47" s="47">
        <f>H44-H46</f>
        <v>8001.3</v>
      </c>
      <c r="I47" s="12"/>
    </row>
    <row r="48">
      <c r="E48" s="15"/>
      <c r="F48" s="15"/>
      <c r="G48" s="15"/>
      <c r="H48" s="15"/>
    </row>
    <row r="49">
      <c r="A49" s="3" t="s">
        <v>53</v>
      </c>
    </row>
    <row r="50">
      <c r="A50" s="3" t="s">
        <v>54</v>
      </c>
    </row>
    <row r="51">
      <c r="A51" s="3" t="s">
        <v>55</v>
      </c>
    </row>
    <row r="53">
      <c r="A53" s="48" t="s">
        <v>56</v>
      </c>
    </row>
    <row r="54">
      <c r="A54" s="49" t="s">
        <v>57</v>
      </c>
    </row>
    <row r="55">
      <c r="A55" s="50"/>
    </row>
  </sheetData>
  <mergeCells count="5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50:E50"/>
    <mergeCell ref="A51:E51"/>
    <mergeCell ref="A53:H53"/>
    <mergeCell ref="A54:H54"/>
    <mergeCell ref="A55:G55"/>
    <mergeCell ref="A41:E41"/>
    <mergeCell ref="A42:E42"/>
    <mergeCell ref="A43:E43"/>
    <mergeCell ref="A44:E44"/>
    <mergeCell ref="F44:G44"/>
    <mergeCell ref="E47:F47"/>
    <mergeCell ref="A49:E4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