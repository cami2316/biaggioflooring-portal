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<sst xmlns="http://schemas.openxmlformats.org/spreadsheetml/2006/main" count="49" uniqueCount="46">
  <si>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</si>
  <si>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</si>
  <si>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</si>
  <si>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</si>
  <si>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</si>
  <si>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</si>
  <si>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</si>
  <si>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</si>
  <si>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</si>
  <si>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</si>
  <si>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ben16</t>
  </si>
  <si>
    <t>Customer Information</t>
  </si>
  <si>
    <t>Name:</t>
  </si>
  <si>
    <t>Ben completely transformed cordovano</t>
  </si>
  <si>
    <t>Phone:</t>
  </si>
  <si>
    <t>Address:</t>
  </si>
  <si>
    <t>college park</t>
  </si>
  <si>
    <t>Cell:</t>
  </si>
  <si>
    <t>City, St. Zip:</t>
  </si>
  <si>
    <t>Email:</t>
  </si>
  <si>
    <t>Description ( labor only)</t>
  </si>
  <si>
    <t>Qty</t>
  </si>
  <si>
    <t>Price</t>
  </si>
  <si>
    <t>Amount</t>
  </si>
  <si>
    <t xml:space="preserve">master </t>
  </si>
  <si>
    <t>walls</t>
  </si>
  <si>
    <t>floor large format and pattern</t>
  </si>
  <si>
    <t>shower floor</t>
  </si>
  <si>
    <t xml:space="preserve">accent tiles  </t>
  </si>
  <si>
    <t>fireplace</t>
  </si>
  <si>
    <t>guest bathroom</t>
  </si>
  <si>
    <t>curb</t>
  </si>
  <si>
    <t xml:space="preserve">floor large format and pattern </t>
  </si>
  <si>
    <t xml:space="preserve">kitchen </t>
  </si>
  <si>
    <t>additional work ***</t>
  </si>
  <si>
    <t>grinder $60/hour self level $30/bag application</t>
  </si>
  <si>
    <t>niche $ 150 small  $250 medium $ 350 large</t>
  </si>
  <si>
    <t>bench $100 small</t>
  </si>
  <si>
    <t>cement board $2.5/sf wall  $2.0/sf floor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</si>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</sst>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44313.0</v>
      </c>
    </row>
    <row r="3">
      <c r="A3" s="3" t="s">
        <v>4</v>
      </c>
      <c r="F3" s="4" t="s">
        <v>5</v>
      </c>
      <c r="H3" s="3">
        <v>2116.0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B15" s="14"/>
      <c r="C15" s="14"/>
      <c r="D15" s="14"/>
      <c r="E15" s="16"/>
      <c r="F15" s="28"/>
      <c r="G15" s="28"/>
      <c r="H15" s="28"/>
      <c r="I15" s="11"/>
    </row>
    <row r="16" ht="15.0" customHeight="1">
      <c r="A16" s="29" t="s">
        <v>25</v>
      </c>
      <c r="E16" s="20"/>
      <c r="F16" s="30">
        <v>200.0</v>
      </c>
      <c r="G16" s="30">
        <v>9.5</v>
      </c>
      <c r="H16" s="30">
        <f>G16*F16</f>
        <v>1900</v>
      </c>
      <c r="I16" s="11"/>
    </row>
    <row r="17" ht="15.0" customHeight="1">
      <c r="A17" s="29" t="s">
        <v>26</v>
      </c>
      <c r="E17" s="20"/>
      <c r="F17" s="30">
        <v>220.0</v>
      </c>
      <c r="G17" s="30">
        <v>3.9</v>
      </c>
      <c r="H17" s="30">
        <f>F17*G17</f>
        <v>858</v>
      </c>
      <c r="I17" s="11"/>
    </row>
    <row r="18" ht="15.0" customHeight="1">
      <c r="A18" s="29" t="s">
        <v>27</v>
      </c>
      <c r="E18" s="20"/>
      <c r="F18" s="30">
        <v>20.0</v>
      </c>
      <c r="G18" s="30">
        <v>18.0</v>
      </c>
      <c r="H18" s="30">
        <f t="shared" ref="H18:H19" si="1">G18*F18</f>
        <v>360</v>
      </c>
      <c r="I18" s="11"/>
    </row>
    <row r="19" ht="15.0" customHeight="1">
      <c r="A19" s="29" t="s">
        <v>28</v>
      </c>
      <c r="E19" s="20"/>
      <c r="F19" s="30">
        <v>30.0</v>
      </c>
      <c r="G19" s="30">
        <v>15.0</v>
      </c>
      <c r="H19" s="30">
        <f t="shared" si="1"/>
        <v>450</v>
      </c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 t="s">
        <v>29</v>
      </c>
      <c r="E21" s="20"/>
      <c r="F21" s="30">
        <v>24.0</v>
      </c>
      <c r="G21" s="30">
        <v>12.0</v>
      </c>
      <c r="H21" s="31">
        <f>G21*F21</f>
        <v>288</v>
      </c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 t="s">
        <v>30</v>
      </c>
      <c r="E23" s="20"/>
      <c r="F23" s="30"/>
      <c r="G23" s="30"/>
      <c r="H23" s="31"/>
      <c r="I23" s="11"/>
    </row>
    <row r="24" ht="15.0" customHeight="1">
      <c r="A24" s="29" t="s">
        <v>25</v>
      </c>
      <c r="E24" s="20"/>
      <c r="F24" s="30">
        <v>100.0</v>
      </c>
      <c r="G24" s="30">
        <v>9.5</v>
      </c>
      <c r="H24" s="31">
        <f t="shared" ref="H24:H26" si="2">G24*F24</f>
        <v>950</v>
      </c>
      <c r="I24" s="11"/>
    </row>
    <row r="25" ht="15.0" customHeight="1">
      <c r="A25" s="29" t="s">
        <v>27</v>
      </c>
      <c r="E25" s="20"/>
      <c r="F25" s="30">
        <v>13.0</v>
      </c>
      <c r="G25" s="30">
        <v>18.0</v>
      </c>
      <c r="H25" s="30">
        <f t="shared" si="2"/>
        <v>234</v>
      </c>
      <c r="I25" s="11"/>
    </row>
    <row r="26" ht="15.0" customHeight="1">
      <c r="A26" s="29" t="s">
        <v>26</v>
      </c>
      <c r="E26" s="20"/>
      <c r="F26" s="30">
        <v>77.0</v>
      </c>
      <c r="G26" s="30">
        <v>3.9</v>
      </c>
      <c r="H26" s="31">
        <f t="shared" si="2"/>
        <v>300.3</v>
      </c>
      <c r="I26" s="11"/>
    </row>
    <row r="27" ht="15.0" customHeight="1">
      <c r="A27" s="29" t="s">
        <v>31</v>
      </c>
      <c r="E27" s="20"/>
      <c r="F27" s="30">
        <v>1.0</v>
      </c>
      <c r="G27" s="30">
        <v>150.0</v>
      </c>
      <c r="H27" s="30">
        <v>150.0</v>
      </c>
      <c r="I27" s="11"/>
    </row>
    <row r="28" ht="15.0" customHeight="1">
      <c r="A28" s="29" t="s">
        <v>32</v>
      </c>
      <c r="E28" s="20"/>
      <c r="F28" s="30">
        <v>3050.0</v>
      </c>
      <c r="G28" s="30">
        <v>3.9</v>
      </c>
      <c r="H28" s="31">
        <f>G28*F28</f>
        <v>11895</v>
      </c>
      <c r="I28" s="11"/>
    </row>
    <row r="29" ht="15.0" customHeight="1">
      <c r="A29" s="29"/>
      <c r="E29" s="20"/>
      <c r="F29" s="30"/>
      <c r="G29" s="30"/>
      <c r="H29" s="31"/>
      <c r="I29" s="11"/>
    </row>
    <row r="30" ht="15.0" customHeight="1">
      <c r="A30" s="29" t="s">
        <v>33</v>
      </c>
      <c r="E30" s="20"/>
      <c r="F30" s="30">
        <v>50.0</v>
      </c>
      <c r="G30" s="30">
        <v>14.0</v>
      </c>
      <c r="H30" s="31">
        <f>G30*F30</f>
        <v>700</v>
      </c>
      <c r="I30" s="11"/>
    </row>
    <row r="31" ht="15.0" customHeight="1">
      <c r="A31" s="29"/>
      <c r="E31" s="20"/>
      <c r="F31" s="30"/>
      <c r="G31" s="30"/>
      <c r="H31" s="30"/>
      <c r="I31" s="11"/>
    </row>
    <row r="32" ht="15.0" customHeight="1">
      <c r="A32" s="29" t="s">
        <v>34</v>
      </c>
      <c r="E32" s="20"/>
      <c r="F32" s="30"/>
      <c r="G32" s="30"/>
      <c r="H32" s="30"/>
      <c r="I32" s="11"/>
    </row>
    <row r="33" ht="15.0" customHeight="1">
      <c r="A33" s="29" t="s">
        <v>35</v>
      </c>
      <c r="E33" s="20"/>
      <c r="F33" s="30"/>
      <c r="G33" s="30"/>
      <c r="H33" s="31"/>
      <c r="I33" s="11"/>
    </row>
    <row r="34" ht="15.0" customHeight="1">
      <c r="A34" s="29" t="s">
        <v>36</v>
      </c>
      <c r="E34" s="20"/>
      <c r="F34" s="30"/>
      <c r="G34" s="30"/>
      <c r="H34" s="31"/>
      <c r="I34" s="11"/>
    </row>
    <row r="35" ht="15.0" customHeight="1">
      <c r="A35" s="29" t="s">
        <v>37</v>
      </c>
      <c r="E35" s="20"/>
      <c r="F35" s="32"/>
      <c r="G35" s="32"/>
      <c r="H35" s="31"/>
      <c r="I35" s="11"/>
    </row>
    <row r="36" ht="15.0" customHeight="1">
      <c r="A36" s="29" t="s">
        <v>38</v>
      </c>
      <c r="E36" s="20"/>
      <c r="F36" s="33" t="s">
        <v>39</v>
      </c>
      <c r="G36" s="10"/>
      <c r="H36" s="31">
        <f>SUM(H15:H34)</f>
        <v>18085.3</v>
      </c>
      <c r="I36" s="11"/>
    </row>
    <row r="37" ht="15.0" customHeight="1">
      <c r="A37" s="34"/>
      <c r="B37" s="7"/>
      <c r="C37" s="7"/>
      <c r="D37" s="7"/>
      <c r="E37" s="24"/>
      <c r="F37" s="35"/>
      <c r="G37" s="10"/>
      <c r="H37" s="36"/>
      <c r="I37" s="11"/>
    </row>
    <row r="38">
      <c r="A38" s="14"/>
      <c r="B38" s="14"/>
      <c r="C38" s="14"/>
      <c r="D38" s="16"/>
      <c r="E38" s="37" t="s">
        <v>40</v>
      </c>
      <c r="F38" s="9"/>
      <c r="G38" s="38"/>
      <c r="H38" s="39">
        <f>H36</f>
        <v>18085.3</v>
      </c>
      <c r="I38" s="11"/>
    </row>
    <row r="39">
      <c r="E39" s="40"/>
      <c r="F39" s="14"/>
      <c r="G39" s="14"/>
      <c r="H39" s="41"/>
    </row>
    <row r="40">
      <c r="A40" s="3" t="s">
        <v>41</v>
      </c>
    </row>
    <row r="41">
      <c r="A41" s="3" t="s">
        <v>42</v>
      </c>
    </row>
    <row r="42">
      <c r="A42" s="3" t="s">
        <v>43</v>
      </c>
    </row>
    <row r="44">
      <c r="A44" s="42" t="s">
        <v>44</v>
      </c>
    </row>
    <row r="45">
      <c r="A45" s="43" t="s">
        <v>45</v>
      </c>
    </row>
    <row r="46">
      <c r="A46" s="44"/>
    </row>
  </sheetData>
  <mergeCells count="4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40:E40"/>
    <mergeCell ref="A41:E41"/>
    <mergeCell ref="A42:E42"/>
    <mergeCell ref="A44:H44"/>
    <mergeCell ref="A45:H45"/>
    <mergeCell ref="A46:G46"/>
    <mergeCell ref="A34:E34"/>
    <mergeCell ref="A35:E35"/>
    <mergeCell ref="A36:E36"/>
    <mergeCell ref="F36:G36"/>
    <mergeCell ref="A37:E37"/>
    <mergeCell ref="F37:G37"/>
    <mergeCell ref="E38:F38"/>
  </mergeCells>
  <drawing r:id="rId1"/>
</worksheet>
</file>