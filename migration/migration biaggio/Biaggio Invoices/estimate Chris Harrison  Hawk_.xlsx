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<sst xmlns="http://schemas.openxmlformats.org/spreadsheetml/2006/main" count="61" uniqueCount="57">
  <si>
    <t>Biaggio Flooring LLC</t>
  </si>
  <si>
    <t>Estimate</t>
  </si>
  <si>
    <t>2314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</si>
  <si>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</si>
  <si>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</si>
  <si>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</si>
  <si>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</si>
  <si>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</si>
  <si>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</si>
  <si>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</si>
  <si>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Chris 001</t>
  </si>
  <si>
    <t>Customer Information</t>
  </si>
  <si>
    <t>Name:</t>
  </si>
  <si>
    <t>CHRIS HARRISON</t>
  </si>
  <si>
    <t>Phone:</t>
  </si>
  <si>
    <t>Address:</t>
  </si>
  <si>
    <t>Cell:</t>
  </si>
  <si>
    <t>City, St. Zip:</t>
  </si>
  <si>
    <t>Email:</t>
  </si>
  <si>
    <t>Description</t>
  </si>
  <si>
    <t>Qty</t>
  </si>
  <si>
    <t>Price</t>
  </si>
  <si>
    <t>Amount</t>
  </si>
  <si>
    <t>wood floor ( glue down) labor only main house (7X48)</t>
  </si>
  <si>
    <t>basic installation ceramic tile floor ( laundry room  11x13) main house  labor only</t>
  </si>
  <si>
    <t>HEXAGONAL</t>
  </si>
  <si>
    <t>Pool Bath</t>
  </si>
  <si>
    <t>basic installation ceramic tile floor (  12x12) m  labor only</t>
  </si>
  <si>
    <t>Basic installation shower floor ceramic tile (12x12) labor only</t>
  </si>
  <si>
    <t>Shower wall  Basic installation Ceramic tile (16X32)  labor only</t>
  </si>
  <si>
    <t>OK</t>
  </si>
  <si>
    <t>Showerwall Basic installation Ceramic tile ( 4X12)  labor only</t>
  </si>
  <si>
    <t>ADD WORK AROUND WINDOW</t>
  </si>
  <si>
    <t>Bath 3</t>
  </si>
  <si>
    <t>basic installation ceramic tile floor ( 8x8) m  labor only</t>
  </si>
  <si>
    <t xml:space="preserve"> wall  Basic installation Ceramic tile(6X24)  labor only</t>
  </si>
  <si>
    <t>Bath 2</t>
  </si>
  <si>
    <t>basic installation ceramic tile floor ( 11x12) mosaic  labor only</t>
  </si>
  <si>
    <t xml:space="preserve"> wall  Basic installation Ceramic tile(12x12)  labor only</t>
  </si>
  <si>
    <t>Master</t>
  </si>
  <si>
    <t>basic installation ceramic tile floor ( 24X48) m  labor only</t>
  </si>
  <si>
    <t>Shower wall  Basic installation Ceramic tile (24X48)  labor only</t>
  </si>
  <si>
    <t>Shower ceiling Basic installation Ceramic tile (24X48)  labor only</t>
  </si>
  <si>
    <t>Basic installation shower floor ceramic tile (10X11) labor only</t>
  </si>
  <si>
    <t>Add prices</t>
  </si>
  <si>
    <t>*work around window  $75/ per window/</t>
  </si>
  <si>
    <t>niche framing and install $150.00 / niche (medium size)</t>
  </si>
  <si>
    <t>mosaic band ( Medium size) $ 200.00 per band</t>
  </si>
  <si>
    <t>self level $30.00/per bag</t>
  </si>
  <si>
    <t>grinder $50/ hour</t>
  </si>
  <si>
    <t>subtotal</t>
  </si>
  <si>
    <t>Estimate is for wood glue down only  and tiles only ceramic tiles.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</si>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</sst>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FF"/>
        <bgColor rgb="FFFFFFFF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14" fillId="0" fontId="7" numFmtId="0" xfId="0" applyAlignment="1" applyBorder="1" applyFont="1">
      <alignment readingOrder="0" shrinkToFit="0" wrapText="1"/>
    </xf>
    <xf borderId="10" fillId="3" fontId="7" numFmtId="0" xfId="0" applyAlignment="1" applyBorder="1" applyFill="1" applyFont="1">
      <alignment readingOrder="0" shrinkToFit="0" wrapText="1"/>
    </xf>
    <xf borderId="15" fillId="3" fontId="3" numFmtId="0" xfId="0" applyAlignment="1" applyBorder="1" applyFont="1">
      <alignment shrinkToFit="0" wrapText="1"/>
    </xf>
    <xf borderId="11" fillId="3" fontId="3" numFmtId="0" xfId="0" applyAlignment="1" applyBorder="1" applyFont="1">
      <alignment readingOrder="0" shrinkToFit="0" wrapText="1"/>
    </xf>
    <xf borderId="2" fillId="3" fontId="7" numFmtId="0" xfId="0" applyAlignment="1" applyBorder="1" applyFont="1">
      <alignment readingOrder="0" shrinkToFit="0" wrapText="1"/>
    </xf>
    <xf borderId="3" fillId="0" fontId="7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0" fillId="0" fontId="7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43853.0</v>
      </c>
    </row>
    <row r="3">
      <c r="A3" s="3" t="s">
        <v>4</v>
      </c>
      <c r="F3" s="4" t="s">
        <v>5</v>
      </c>
      <c r="H3" s="3">
        <v>2001.0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F11" s="18" t="s">
        <v>16</v>
      </c>
      <c r="G11" s="19"/>
      <c r="H11" s="20"/>
      <c r="I11" s="11"/>
    </row>
    <row r="12">
      <c r="A12" s="21" t="s">
        <v>17</v>
      </c>
      <c r="B12" s="22"/>
      <c r="C12" s="7"/>
      <c r="D12" s="7"/>
      <c r="E12" s="7"/>
      <c r="F12" s="23" t="s">
        <v>18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19</v>
      </c>
      <c r="B14" s="9"/>
      <c r="C14" s="9"/>
      <c r="D14" s="9"/>
      <c r="E14" s="9"/>
      <c r="F14" s="26" t="s">
        <v>20</v>
      </c>
      <c r="G14" s="26" t="s">
        <v>21</v>
      </c>
      <c r="H14" s="26" t="s">
        <v>22</v>
      </c>
      <c r="I14" s="11"/>
    </row>
    <row r="15" ht="15.0" customHeight="1">
      <c r="A15" s="27" t="s">
        <v>23</v>
      </c>
      <c r="B15" s="14"/>
      <c r="C15" s="14"/>
      <c r="D15" s="14"/>
      <c r="E15" s="16"/>
      <c r="F15" s="28">
        <v>1850.0</v>
      </c>
      <c r="G15" s="28">
        <v>1.5</v>
      </c>
      <c r="H15" s="29">
        <f t="shared" ref="H15:H16" si="1">G15*F15</f>
        <v>2775</v>
      </c>
      <c r="I15" s="11"/>
    </row>
    <row r="16" ht="15.0" customHeight="1">
      <c r="A16" s="30" t="s">
        <v>24</v>
      </c>
      <c r="E16" s="20"/>
      <c r="F16" s="31">
        <v>65.0</v>
      </c>
      <c r="G16" s="31">
        <v>2.6</v>
      </c>
      <c r="H16" s="32">
        <f t="shared" si="1"/>
        <v>169</v>
      </c>
      <c r="I16" s="30" t="s">
        <v>25</v>
      </c>
    </row>
    <row r="17" ht="15.0" customHeight="1">
      <c r="A17" s="30" t="s">
        <v>26</v>
      </c>
      <c r="E17" s="20"/>
      <c r="F17" s="31"/>
      <c r="G17" s="31"/>
      <c r="H17" s="31"/>
      <c r="I17" s="11"/>
    </row>
    <row r="18" ht="15.0" customHeight="1">
      <c r="A18" s="30" t="s">
        <v>27</v>
      </c>
      <c r="E18" s="20"/>
      <c r="F18" s="31">
        <v>55.0</v>
      </c>
      <c r="G18" s="31">
        <v>2.6</v>
      </c>
      <c r="H18" s="31">
        <f t="shared" ref="H18:H21" si="2">G18*F18</f>
        <v>143</v>
      </c>
      <c r="I18" s="11"/>
    </row>
    <row r="19" ht="15.0" customHeight="1">
      <c r="A19" s="3" t="s">
        <v>28</v>
      </c>
      <c r="F19" s="31">
        <v>12.0</v>
      </c>
      <c r="G19" s="31">
        <v>12.0</v>
      </c>
      <c r="H19" s="32">
        <f t="shared" si="2"/>
        <v>144</v>
      </c>
      <c r="I19" s="11"/>
    </row>
    <row r="20" ht="15.0" customHeight="1">
      <c r="A20" s="3" t="s">
        <v>29</v>
      </c>
      <c r="F20" s="31">
        <v>80.0</v>
      </c>
      <c r="G20" s="31">
        <v>8.5</v>
      </c>
      <c r="H20" s="31">
        <f t="shared" si="2"/>
        <v>680</v>
      </c>
      <c r="I20" s="30" t="s">
        <v>30</v>
      </c>
    </row>
    <row r="21" ht="15.0" customHeight="1">
      <c r="A21" s="3" t="s">
        <v>31</v>
      </c>
      <c r="F21" s="31">
        <v>75.0</v>
      </c>
      <c r="G21" s="31">
        <v>8.0</v>
      </c>
      <c r="H21" s="31">
        <f t="shared" si="2"/>
        <v>600</v>
      </c>
      <c r="I21" s="11"/>
    </row>
    <row r="22" ht="15.0" customHeight="1">
      <c r="A22" s="3" t="s">
        <v>32</v>
      </c>
      <c r="F22" s="31">
        <v>1.0</v>
      </c>
      <c r="G22" s="31">
        <v>75.0</v>
      </c>
      <c r="H22" s="31">
        <v>75.0</v>
      </c>
      <c r="I22" s="11"/>
    </row>
    <row r="23" ht="15.0" customHeight="1">
      <c r="A23" s="3" t="s">
        <v>33</v>
      </c>
      <c r="F23" s="31"/>
      <c r="G23" s="31"/>
      <c r="H23" s="31"/>
      <c r="I23" s="11"/>
    </row>
    <row r="24" ht="15.0" customHeight="1">
      <c r="A24" s="30" t="s">
        <v>34</v>
      </c>
      <c r="E24" s="20"/>
      <c r="F24" s="31">
        <v>40.0</v>
      </c>
      <c r="G24" s="31">
        <v>2.8</v>
      </c>
      <c r="H24" s="32">
        <f t="shared" ref="H24:H25" si="3">G24*F24</f>
        <v>112</v>
      </c>
      <c r="I24" s="30" t="s">
        <v>30</v>
      </c>
    </row>
    <row r="25" ht="15.0" customHeight="1">
      <c r="A25" s="3" t="s">
        <v>35</v>
      </c>
      <c r="F25" s="31">
        <v>88.0</v>
      </c>
      <c r="G25" s="31">
        <v>8.5</v>
      </c>
      <c r="H25" s="32">
        <f t="shared" si="3"/>
        <v>748</v>
      </c>
      <c r="I25" s="30" t="s">
        <v>30</v>
      </c>
    </row>
    <row r="26" ht="15.0" customHeight="1">
      <c r="A26" s="3" t="s">
        <v>36</v>
      </c>
      <c r="F26" s="31"/>
      <c r="G26" s="31"/>
      <c r="H26" s="32"/>
      <c r="I26" s="11"/>
    </row>
    <row r="27" ht="15.0" customHeight="1">
      <c r="A27" s="30" t="s">
        <v>37</v>
      </c>
      <c r="E27" s="20"/>
      <c r="F27" s="31">
        <v>35.0</v>
      </c>
      <c r="G27" s="31">
        <v>2.6</v>
      </c>
      <c r="H27" s="32">
        <f t="shared" ref="H27:H28" si="4">G27*F27</f>
        <v>91</v>
      </c>
      <c r="I27" s="30" t="s">
        <v>30</v>
      </c>
    </row>
    <row r="28" ht="15.0" customHeight="1">
      <c r="A28" s="3" t="s">
        <v>38</v>
      </c>
      <c r="F28" s="31">
        <v>88.0</v>
      </c>
      <c r="G28" s="31">
        <v>8.5</v>
      </c>
      <c r="H28" s="32">
        <f t="shared" si="4"/>
        <v>748</v>
      </c>
      <c r="I28" s="11"/>
    </row>
    <row r="29" ht="15.0" customHeight="1">
      <c r="A29" s="30" t="s">
        <v>39</v>
      </c>
      <c r="E29" s="20"/>
      <c r="F29" s="31"/>
      <c r="G29" s="31"/>
      <c r="H29" s="32"/>
      <c r="I29" s="11"/>
    </row>
    <row r="30" ht="15.0" customHeight="1">
      <c r="A30" s="30" t="s">
        <v>40</v>
      </c>
      <c r="E30" s="20"/>
      <c r="F30" s="31">
        <v>170.0</v>
      </c>
      <c r="G30" s="31">
        <v>2.95</v>
      </c>
      <c r="H30" s="32">
        <f t="shared" ref="H30:H33" si="5">G30*F30</f>
        <v>501.5</v>
      </c>
      <c r="I30" s="11"/>
    </row>
    <row r="31" ht="15.0" customHeight="1">
      <c r="A31" s="3" t="s">
        <v>41</v>
      </c>
      <c r="F31" s="31">
        <v>180.0</v>
      </c>
      <c r="G31" s="31">
        <v>9.0</v>
      </c>
      <c r="H31" s="32">
        <f t="shared" si="5"/>
        <v>1620</v>
      </c>
      <c r="I31" s="11"/>
    </row>
    <row r="32" ht="15.0" customHeight="1">
      <c r="A32" s="3" t="s">
        <v>42</v>
      </c>
      <c r="F32" s="31">
        <v>50.0</v>
      </c>
      <c r="G32" s="31">
        <v>9.5</v>
      </c>
      <c r="H32" s="32">
        <f t="shared" si="5"/>
        <v>475</v>
      </c>
      <c r="I32" s="11"/>
    </row>
    <row r="33" ht="15.0" customHeight="1">
      <c r="A33" s="3" t="s">
        <v>43</v>
      </c>
      <c r="F33" s="31">
        <v>50.0</v>
      </c>
      <c r="G33" s="31">
        <v>12.0</v>
      </c>
      <c r="H33" s="32">
        <f t="shared" si="5"/>
        <v>600</v>
      </c>
      <c r="I33" s="30" t="s">
        <v>30</v>
      </c>
    </row>
    <row r="34" ht="15.0" customHeight="1">
      <c r="A34" s="30" t="s">
        <v>44</v>
      </c>
      <c r="D34" s="20"/>
      <c r="E34" s="30"/>
      <c r="F34" s="31"/>
      <c r="G34" s="31"/>
      <c r="H34" s="20"/>
      <c r="I34" s="11"/>
    </row>
    <row r="35" ht="15.0" customHeight="1">
      <c r="A35" s="30" t="s">
        <v>45</v>
      </c>
      <c r="F35" s="32"/>
      <c r="G35" s="33"/>
      <c r="H35" s="20"/>
      <c r="I35" s="11"/>
    </row>
    <row r="36" ht="15.0" customHeight="1">
      <c r="A36" s="30" t="s">
        <v>46</v>
      </c>
      <c r="F36" s="33"/>
      <c r="G36" s="33"/>
      <c r="H36" s="20"/>
      <c r="I36" s="11"/>
    </row>
    <row r="37">
      <c r="A37" s="30" t="s">
        <v>47</v>
      </c>
      <c r="E37" s="20"/>
      <c r="F37" s="34"/>
      <c r="G37" s="11"/>
      <c r="H37" s="31"/>
    </row>
    <row r="38">
      <c r="A38" s="30" t="s">
        <v>48</v>
      </c>
      <c r="E38" s="20"/>
      <c r="F38" s="35"/>
      <c r="G38" s="36"/>
      <c r="H38" s="37"/>
      <c r="I38" s="11"/>
    </row>
    <row r="39">
      <c r="A39" s="30" t="s">
        <v>49</v>
      </c>
      <c r="E39" s="20"/>
      <c r="F39" s="38" t="s">
        <v>50</v>
      </c>
      <c r="G39" s="9"/>
      <c r="H39" s="37">
        <f>SUM(H15:H33)</f>
        <v>9481.5</v>
      </c>
      <c r="I39" s="11"/>
    </row>
    <row r="40">
      <c r="A40" s="22" t="s">
        <v>51</v>
      </c>
      <c r="B40" s="7"/>
      <c r="C40" s="7"/>
      <c r="D40" s="7"/>
      <c r="E40" s="7"/>
      <c r="F40" s="39"/>
      <c r="G40" s="9"/>
      <c r="H40" s="40"/>
      <c r="I40" s="11"/>
    </row>
    <row r="41">
      <c r="D41" s="20"/>
      <c r="E41" s="41"/>
      <c r="F41" s="7"/>
      <c r="G41" s="9"/>
      <c r="H41" s="42"/>
      <c r="I41" s="11"/>
    </row>
    <row r="42">
      <c r="E42" s="14"/>
      <c r="F42" s="14"/>
      <c r="G42" s="14"/>
      <c r="H42" s="14"/>
    </row>
    <row r="43">
      <c r="A43" s="3" t="s">
        <v>52</v>
      </c>
    </row>
    <row r="44">
      <c r="A44" s="3" t="s">
        <v>53</v>
      </c>
    </row>
    <row r="45">
      <c r="A45" s="3" t="s">
        <v>54</v>
      </c>
    </row>
    <row r="47">
      <c r="A47" s="43" t="s">
        <v>55</v>
      </c>
    </row>
    <row r="48">
      <c r="A48" s="44" t="s">
        <v>56</v>
      </c>
    </row>
    <row r="49">
      <c r="A49" s="45"/>
    </row>
  </sheetData>
  <mergeCells count="48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D34"/>
    <mergeCell ref="A43:E43"/>
    <mergeCell ref="A44:E44"/>
    <mergeCell ref="A45:E45"/>
    <mergeCell ref="A47:H47"/>
    <mergeCell ref="A48:H48"/>
    <mergeCell ref="A49:G49"/>
    <mergeCell ref="A35:E35"/>
    <mergeCell ref="A36:E36"/>
    <mergeCell ref="A37:E37"/>
    <mergeCell ref="A38:E38"/>
    <mergeCell ref="A39:E39"/>
    <mergeCell ref="F39:G39"/>
    <mergeCell ref="E41:F41"/>
  </mergeCells>
  <drawing r:id="rId1"/>
</worksheet>
</file>