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<sst xmlns="http://schemas.openxmlformats.org/spreadsheetml/2006/main" count="36" uniqueCount="36">
  <si>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</si>
  <si>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</si>
  <si>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</si>
  <si>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</si>
  <si>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</si>
  <si>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</si>
  <si>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</si>
  <si>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</si>
  <si>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</si>
  <si>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</si>
  <si>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CLIENT grov</t>
  </si>
  <si>
    <t>Customer Information</t>
  </si>
  <si>
    <t>Name:</t>
  </si>
  <si>
    <t xml:space="preserve">West Orange Kitchen and Bathroom </t>
  </si>
  <si>
    <t>Phone:</t>
  </si>
  <si>
    <t>Address:</t>
  </si>
  <si>
    <t>Cell:</t>
  </si>
  <si>
    <t>City, St. Zip:</t>
  </si>
  <si>
    <t xml:space="preserve">Groveland </t>
  </si>
  <si>
    <t>Email:</t>
  </si>
  <si>
    <t>Description Labor only</t>
  </si>
  <si>
    <t>Qty</t>
  </si>
  <si>
    <t>Price</t>
  </si>
  <si>
    <t>Amount</t>
  </si>
  <si>
    <t>vynil plank</t>
  </si>
  <si>
    <t>floor prep fee</t>
  </si>
  <si>
    <t xml:space="preserve">  ***Cement board $ 2.5 / per sqft  shelf $ 75 / unit</t>
  </si>
  <si>
    <t>TOTAL</t>
  </si>
  <si>
    <t>*** prep:  grinder $75 /hour - 45 self level instal ( labor only)</t>
  </si>
  <si>
    <t>we had to change 3 pieces in order to do the niche not charge yet</t>
  </si>
  <si>
    <t>please pay after finish</t>
  </si>
  <si>
    <t>amount due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</si>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</sst>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3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name val="Arial"/>
    </font>
    <font>
      <b/>
      <sz val="12.0"/>
    </font>
    <font>
      <strike/>
    </font>
    <font>
      <b/>
      <sz val="11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vertical="bottom" wrapText="1"/>
    </xf>
    <xf borderId="13" fillId="0" fontId="7" numFmtId="0" xfId="0" applyAlignment="1" applyBorder="1" applyFont="1">
      <alignment horizontal="right" readingOrder="0" shrinkToFit="0" vertical="bottom" wrapText="1"/>
    </xf>
    <xf borderId="13" fillId="0" fontId="7" numFmtId="0" xfId="0" applyAlignment="1" applyBorder="1" applyFont="1">
      <alignment horizontal="right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3" fillId="0" fontId="9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readingOrder="0" shrinkToFit="0" wrapText="1"/>
    </xf>
    <xf borderId="7" fillId="0" fontId="11" numFmtId="0" xfId="0" applyAlignment="1" applyBorder="1" applyFont="1">
      <alignment shrinkToFit="0" wrapText="1"/>
    </xf>
    <xf borderId="8" fillId="0" fontId="11" numFmtId="0" xfId="0" applyAlignment="1" applyBorder="1" applyFont="1">
      <alignment shrinkToFit="0" wrapText="1"/>
    </xf>
    <xf borderId="2" fillId="0" fontId="12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shrinkToFit="0" wrapText="1"/>
    </xf>
    <xf borderId="4" fillId="0" fontId="12" numFmtId="0" xfId="0" applyAlignment="1" applyBorder="1" applyFont="1">
      <alignment readingOrder="0" shrinkToFit="0" wrapText="1"/>
    </xf>
    <xf borderId="5" fillId="0" fontId="11" numFmtId="0" xfId="0" applyAlignment="1" applyBorder="1" applyFont="1">
      <alignment shrinkToFit="0" wrapText="1"/>
    </xf>
    <xf borderId="0" fillId="0" fontId="11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21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46132.0</v>
      </c>
    </row>
    <row r="3">
      <c r="A3" s="3" t="s">
        <v>4</v>
      </c>
      <c r="F3" s="4" t="s">
        <v>5</v>
      </c>
      <c r="H3" s="3">
        <v>2615.0</v>
      </c>
    </row>
    <row r="4">
      <c r="A4" s="3" t="s">
        <v>6</v>
      </c>
      <c r="F4" s="6" t="s">
        <v>7</v>
      </c>
    </row>
    <row r="5">
      <c r="G5" s="6" t="s">
        <v>8</v>
      </c>
      <c r="H5" s="3">
        <v>26.0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/>
      <c r="F11" s="18" t="s">
        <v>16</v>
      </c>
      <c r="G11" s="19"/>
      <c r="H11" s="20"/>
      <c r="I11" s="11"/>
    </row>
    <row r="12">
      <c r="A12" s="21" t="s">
        <v>17</v>
      </c>
      <c r="B12" s="22" t="s">
        <v>18</v>
      </c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512.0</v>
      </c>
      <c r="G15" s="28">
        <v>2.5</v>
      </c>
      <c r="H15" s="29">
        <f>G15*F15</f>
        <v>1280</v>
      </c>
      <c r="I15" s="11"/>
    </row>
    <row r="16" ht="15.0" customHeight="1">
      <c r="A16" s="30" t="s">
        <v>25</v>
      </c>
      <c r="E16" s="20"/>
      <c r="F16" s="31">
        <v>1.0</v>
      </c>
      <c r="G16" s="31"/>
      <c r="H16" s="31">
        <v>150.0</v>
      </c>
      <c r="I16" s="11"/>
    </row>
    <row r="17" ht="15.0" customHeight="1">
      <c r="A17" s="30" t="s">
        <v>26</v>
      </c>
      <c r="E17" s="20"/>
      <c r="F17" s="32" t="s">
        <v>27</v>
      </c>
      <c r="G17" s="24"/>
      <c r="H17" s="33">
        <f>SUM(H15,H16)</f>
        <v>1430</v>
      </c>
      <c r="I17" s="11"/>
    </row>
    <row r="18" ht="15.0" customHeight="1">
      <c r="A18" s="30" t="s">
        <v>28</v>
      </c>
      <c r="E18" s="20"/>
      <c r="F18" s="34"/>
      <c r="G18" s="10"/>
      <c r="H18" s="31"/>
      <c r="I18" s="11"/>
    </row>
    <row r="19">
      <c r="A19" s="3" t="s">
        <v>29</v>
      </c>
      <c r="D19" s="20"/>
      <c r="E19" s="32" t="s">
        <v>30</v>
      </c>
      <c r="F19" s="35"/>
      <c r="G19" s="36"/>
      <c r="H19" s="37"/>
      <c r="I19" s="11"/>
    </row>
    <row r="20">
      <c r="D20" s="20"/>
      <c r="E20" s="38" t="s">
        <v>31</v>
      </c>
      <c r="F20" s="35"/>
      <c r="G20" s="9"/>
      <c r="H20" s="39">
        <v>1430.0</v>
      </c>
      <c r="I20" s="11"/>
    </row>
    <row r="21">
      <c r="A21" s="40"/>
      <c r="B21" s="40"/>
      <c r="C21" s="40"/>
      <c r="D21" s="41"/>
      <c r="E21" s="42"/>
      <c r="F21" s="9"/>
      <c r="G21" s="43"/>
      <c r="H21" s="44"/>
      <c r="I21" s="45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</row>
    <row r="22">
      <c r="E22" s="14"/>
      <c r="F22" s="14"/>
      <c r="G22" s="14"/>
      <c r="H22" s="14"/>
    </row>
    <row r="23">
      <c r="A23" s="3" t="s">
        <v>32</v>
      </c>
    </row>
    <row r="24">
      <c r="A24" s="3" t="s">
        <v>33</v>
      </c>
    </row>
    <row r="25">
      <c r="A25" s="3" t="s">
        <v>34</v>
      </c>
    </row>
    <row r="27">
      <c r="A27" s="47" t="s">
        <v>35</v>
      </c>
    </row>
    <row r="28">
      <c r="A28" s="48"/>
    </row>
    <row r="29">
      <c r="A29" s="49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F17:G17"/>
    <mergeCell ref="F18:G18"/>
    <mergeCell ref="A28:H28"/>
    <mergeCell ref="A29:G29"/>
    <mergeCell ref="A18:E18"/>
    <mergeCell ref="A19:D20"/>
    <mergeCell ref="E21:F21"/>
    <mergeCell ref="A23:E23"/>
    <mergeCell ref="A24:E24"/>
    <mergeCell ref="A25:E25"/>
    <mergeCell ref="A27:H27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