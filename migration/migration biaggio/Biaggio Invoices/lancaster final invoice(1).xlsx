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<sst xmlns="http://schemas.openxmlformats.org/spreadsheetml/2006/main" count="53" uniqueCount="53">
  <si>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</si>
  <si>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</si>
  <si>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</si>
  <si>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</si>
  <si>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</si>
  <si>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</si>
  <si>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</si>
  <si>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</si>
  <si>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</si>
  <si>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</si>
  <si>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</si>
  <si>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</si>
  <si>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</si>
  <si>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</si>
  <si>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</si>
  <si>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</si>
  <si>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1501 lancaster dr</t>
  </si>
  <si>
    <t>Cell:</t>
  </si>
  <si>
    <t>City, St. Zip:</t>
  </si>
  <si>
    <t xml:space="preserve">orlando </t>
  </si>
  <si>
    <t>Email:</t>
  </si>
  <si>
    <t>Description</t>
  </si>
  <si>
    <t>Qty</t>
  </si>
  <si>
    <t>Price</t>
  </si>
  <si>
    <t>Amount</t>
  </si>
  <si>
    <t>eng wood flooring gluedown Installation Only</t>
  </si>
  <si>
    <t>mainfloor</t>
  </si>
  <si>
    <t>showerfloor( mortar bed , installing)  2x2</t>
  </si>
  <si>
    <t>walls 12x24( cement board not )included</t>
  </si>
  <si>
    <t xml:space="preserve">niche </t>
  </si>
  <si>
    <t xml:space="preserve">walking shower </t>
  </si>
  <si>
    <t>curb</t>
  </si>
  <si>
    <t xml:space="preserve">working around window </t>
  </si>
  <si>
    <t xml:space="preserve">cement board 2 floor bathroons </t>
  </si>
  <si>
    <t>balcony</t>
  </si>
  <si>
    <t>cement board installation  with thinset</t>
  </si>
  <si>
    <t>tile installation 12x24</t>
  </si>
  <si>
    <t xml:space="preserve">waterproof floor </t>
  </si>
  <si>
    <t xml:space="preserve">paper on wood floor and bathroons </t>
  </si>
  <si>
    <t>bath 03</t>
  </si>
  <si>
    <t>prep floor provision ( will be adjuted on final invoice)</t>
  </si>
  <si>
    <t>grinding@70 hour ADJUSTED</t>
  </si>
  <si>
    <t>selflevel application @40/ bag ADJUSTED</t>
  </si>
  <si>
    <t>self level clip</t>
  </si>
  <si>
    <t>adjustments and extras:</t>
  </si>
  <si>
    <t>total</t>
  </si>
  <si>
    <t>paid</t>
  </si>
  <si>
    <t>please pay ( provision)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</si>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</sst>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2.0"/>
    </font>
    <font>
      <b/>
      <sz val="16.0"/>
    </font>
    <font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45300.0</v>
      </c>
    </row>
    <row r="3">
      <c r="A3" s="3" t="s">
        <v>4</v>
      </c>
      <c r="F3" s="6" t="s">
        <v>5</v>
      </c>
      <c r="H3" s="3">
        <v>240101.0</v>
      </c>
    </row>
    <row r="4">
      <c r="A4" s="3" t="s">
        <v>6</v>
      </c>
      <c r="F4" s="7" t="s">
        <v>7</v>
      </c>
      <c r="H4" s="3">
        <v>231204.0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2811.0</v>
      </c>
      <c r="G15" s="29">
        <v>4.1</v>
      </c>
      <c r="H15" s="30">
        <f t="shared" ref="H15:H19" si="1">G15*F15</f>
        <v>11525.1</v>
      </c>
      <c r="I15" s="12"/>
    </row>
    <row r="16" ht="15.0" customHeight="1">
      <c r="A16" s="31" t="s">
        <v>26</v>
      </c>
      <c r="E16" s="21"/>
      <c r="F16" s="32">
        <v>250.0</v>
      </c>
      <c r="G16" s="32">
        <v>4.1</v>
      </c>
      <c r="H16" s="33">
        <f t="shared" si="1"/>
        <v>1025</v>
      </c>
      <c r="I16" s="12"/>
    </row>
    <row r="17" ht="15.0" customHeight="1">
      <c r="A17" s="31" t="s">
        <v>27</v>
      </c>
      <c r="E17" s="21"/>
      <c r="F17" s="32">
        <v>130.0</v>
      </c>
      <c r="G17" s="32">
        <v>30.0</v>
      </c>
      <c r="H17" s="32">
        <f t="shared" si="1"/>
        <v>3900</v>
      </c>
      <c r="I17" s="12"/>
    </row>
    <row r="18" ht="15.0" customHeight="1">
      <c r="A18" s="31" t="s">
        <v>28</v>
      </c>
      <c r="E18" s="21"/>
      <c r="F18" s="32">
        <v>545.0</v>
      </c>
      <c r="G18" s="32">
        <v>12.0</v>
      </c>
      <c r="H18" s="32">
        <f t="shared" si="1"/>
        <v>6540</v>
      </c>
      <c r="I18" s="12"/>
    </row>
    <row r="19" ht="15.0" customHeight="1">
      <c r="A19" s="31" t="s">
        <v>29</v>
      </c>
      <c r="E19" s="21"/>
      <c r="F19" s="32">
        <v>7.0</v>
      </c>
      <c r="G19" s="32">
        <v>150.0</v>
      </c>
      <c r="H19" s="32">
        <f t="shared" si="1"/>
        <v>1050</v>
      </c>
      <c r="I19" s="12"/>
    </row>
    <row r="20" ht="15.0" customHeight="1">
      <c r="A20" s="31" t="s">
        <v>30</v>
      </c>
      <c r="E20" s="21"/>
      <c r="F20" s="32">
        <v>1.0</v>
      </c>
      <c r="G20" s="32">
        <v>100.0</v>
      </c>
      <c r="H20" s="33">
        <f>F20*G20</f>
        <v>100</v>
      </c>
      <c r="I20" s="12"/>
    </row>
    <row r="21" ht="15.0" customHeight="1">
      <c r="A21" s="31" t="s">
        <v>31</v>
      </c>
      <c r="E21" s="21"/>
      <c r="F21" s="32">
        <v>1.0</v>
      </c>
      <c r="G21" s="32">
        <v>100.0</v>
      </c>
      <c r="H21" s="32">
        <f t="shared" ref="H21:H23" si="2">G21*F21</f>
        <v>100</v>
      </c>
      <c r="I21" s="12"/>
    </row>
    <row r="22" ht="15.0" customHeight="1">
      <c r="A22" s="31" t="s">
        <v>32</v>
      </c>
      <c r="E22" s="21"/>
      <c r="F22" s="32">
        <v>2.0</v>
      </c>
      <c r="G22" s="32">
        <v>85.0</v>
      </c>
      <c r="H22" s="32">
        <f t="shared" si="2"/>
        <v>170</v>
      </c>
      <c r="I22" s="12"/>
    </row>
    <row r="23" ht="15.0" customHeight="1">
      <c r="A23" s="31" t="s">
        <v>33</v>
      </c>
      <c r="E23" s="21"/>
      <c r="F23" s="32">
        <v>180.0</v>
      </c>
      <c r="G23" s="32">
        <v>2.5</v>
      </c>
      <c r="H23" s="32">
        <f t="shared" si="2"/>
        <v>450</v>
      </c>
      <c r="I23" s="12"/>
    </row>
    <row r="24" ht="15.0" customHeight="1">
      <c r="A24" s="31" t="s">
        <v>34</v>
      </c>
      <c r="E24" s="21"/>
      <c r="F24" s="32"/>
      <c r="G24" s="32"/>
      <c r="H24" s="32"/>
      <c r="I24" s="12"/>
    </row>
    <row r="25" ht="15.0" customHeight="1">
      <c r="A25" s="31" t="s">
        <v>35</v>
      </c>
      <c r="E25" s="21"/>
      <c r="F25" s="32">
        <v>790.0</v>
      </c>
      <c r="G25" s="32">
        <v>2.9</v>
      </c>
      <c r="H25" s="32">
        <f t="shared" ref="H25:H28" si="3">G25*F25</f>
        <v>2291</v>
      </c>
      <c r="I25" s="12"/>
    </row>
    <row r="26" ht="15.0" customHeight="1">
      <c r="A26" s="31" t="s">
        <v>36</v>
      </c>
      <c r="E26" s="21"/>
      <c r="F26" s="32">
        <v>790.0</v>
      </c>
      <c r="G26" s="32">
        <v>4.1</v>
      </c>
      <c r="H26" s="32">
        <f t="shared" si="3"/>
        <v>3239</v>
      </c>
      <c r="I26" s="12"/>
    </row>
    <row r="27" ht="15.0" customHeight="1">
      <c r="A27" s="31" t="s">
        <v>37</v>
      </c>
      <c r="E27" s="21"/>
      <c r="F27" s="32">
        <v>790.0</v>
      </c>
      <c r="G27" s="32">
        <v>0.75</v>
      </c>
      <c r="H27" s="33">
        <f t="shared" si="3"/>
        <v>592.5</v>
      </c>
      <c r="I27" s="12"/>
    </row>
    <row r="28" ht="15.0" customHeight="1">
      <c r="A28" s="31" t="s">
        <v>38</v>
      </c>
      <c r="E28" s="21"/>
      <c r="F28" s="32">
        <v>3061.0</v>
      </c>
      <c r="G28" s="32">
        <v>0.2</v>
      </c>
      <c r="H28" s="33">
        <f t="shared" si="3"/>
        <v>612.2</v>
      </c>
      <c r="I28" s="12"/>
    </row>
    <row r="29" ht="15.0" customHeight="1">
      <c r="A29" s="31" t="s">
        <v>39</v>
      </c>
      <c r="E29" s="21"/>
      <c r="F29" s="32"/>
      <c r="G29" s="32"/>
      <c r="H29" s="32"/>
      <c r="I29" s="12"/>
    </row>
    <row r="30" ht="15.0" customHeight="1">
      <c r="A30" s="31" t="s">
        <v>40</v>
      </c>
      <c r="E30" s="21"/>
      <c r="F30" s="32"/>
      <c r="G30" s="32"/>
      <c r="H30" s="33"/>
      <c r="I30" s="12"/>
    </row>
    <row r="31" ht="15.0" customHeight="1">
      <c r="A31" s="31" t="s">
        <v>41</v>
      </c>
      <c r="E31" s="21"/>
      <c r="F31" s="32">
        <v>19.0</v>
      </c>
      <c r="G31" s="32">
        <v>70.0</v>
      </c>
      <c r="H31" s="32">
        <f t="shared" ref="H31:H34" si="4">G31*F31</f>
        <v>1330</v>
      </c>
      <c r="I31" s="12"/>
    </row>
    <row r="32" ht="15.0" customHeight="1">
      <c r="A32" s="31" t="s">
        <v>42</v>
      </c>
      <c r="E32" s="21"/>
      <c r="F32" s="32">
        <v>4.0</v>
      </c>
      <c r="G32" s="32">
        <v>40.0</v>
      </c>
      <c r="H32" s="33">
        <f t="shared" si="4"/>
        <v>160</v>
      </c>
      <c r="I32" s="12"/>
    </row>
    <row r="33" ht="15.0" customHeight="1">
      <c r="A33" s="31" t="s">
        <v>43</v>
      </c>
      <c r="E33" s="21"/>
      <c r="F33" s="32">
        <v>2.0</v>
      </c>
      <c r="G33" s="32">
        <v>130.0</v>
      </c>
      <c r="H33" s="33">
        <f t="shared" si="4"/>
        <v>260</v>
      </c>
      <c r="I33" s="12"/>
    </row>
    <row r="34" ht="15.0" customHeight="1">
      <c r="A34" s="31"/>
      <c r="E34" s="21"/>
      <c r="F34" s="32"/>
      <c r="G34" s="32"/>
      <c r="H34" s="33">
        <f t="shared" si="4"/>
        <v>0</v>
      </c>
      <c r="I34" s="12"/>
    </row>
    <row r="35" ht="15.0" customHeight="1">
      <c r="A35" s="31" t="s">
        <v>44</v>
      </c>
      <c r="E35" s="21"/>
      <c r="F35" s="32"/>
      <c r="G35" s="32"/>
      <c r="H35" s="33"/>
      <c r="I35" s="12"/>
    </row>
    <row r="36" ht="15.0" customHeight="1">
      <c r="A36" s="31"/>
      <c r="E36" s="21"/>
      <c r="F36" s="32"/>
      <c r="G36" s="32"/>
      <c r="H36" s="32"/>
      <c r="I36" s="12"/>
    </row>
    <row r="37" ht="15.0" customHeight="1">
      <c r="A37" s="31"/>
      <c r="E37" s="21"/>
      <c r="F37" s="32"/>
      <c r="G37" s="32"/>
      <c r="H37" s="32"/>
      <c r="I37" s="12"/>
    </row>
    <row r="38" ht="15.0" customHeight="1">
      <c r="A38" s="31"/>
      <c r="E38" s="21"/>
      <c r="F38" s="32"/>
      <c r="G38" s="32"/>
      <c r="H38" s="32"/>
      <c r="I38" s="12"/>
    </row>
    <row r="39" ht="15.0" customHeight="1">
      <c r="A39" s="31"/>
      <c r="E39" s="21"/>
      <c r="F39" s="32"/>
      <c r="G39" s="32"/>
      <c r="H39" s="32"/>
      <c r="I39" s="12"/>
    </row>
    <row r="40" ht="15.0" customHeight="1">
      <c r="A40" s="34"/>
      <c r="E40" s="21"/>
      <c r="F40" s="35"/>
      <c r="G40" s="35"/>
      <c r="H40" s="21"/>
      <c r="I40" s="12"/>
    </row>
    <row r="41" ht="15.0" customHeight="1">
      <c r="A41" s="31"/>
      <c r="E41" s="21"/>
      <c r="F41" s="35"/>
      <c r="G41" s="35"/>
      <c r="H41" s="21"/>
      <c r="I41" s="12"/>
    </row>
    <row r="42" ht="15.0" customHeight="1">
      <c r="A42" s="31"/>
      <c r="E42" s="21"/>
      <c r="F42" s="35"/>
      <c r="G42" s="35"/>
      <c r="H42" s="35"/>
      <c r="I42" s="12"/>
    </row>
    <row r="43" ht="15.0" customHeight="1">
      <c r="A43" s="31"/>
      <c r="E43" s="21"/>
      <c r="F43" s="35"/>
      <c r="G43" s="35"/>
      <c r="H43" s="21"/>
      <c r="I43" s="12"/>
    </row>
    <row r="44" ht="15.0" customHeight="1">
      <c r="A44" s="31"/>
      <c r="E44" s="21"/>
      <c r="F44" s="35"/>
      <c r="G44" s="35"/>
      <c r="H44" s="35"/>
      <c r="I44" s="12"/>
    </row>
    <row r="45" ht="15.0" customHeight="1">
      <c r="A45" s="36"/>
      <c r="E45" s="21"/>
      <c r="F45" s="35"/>
      <c r="G45" s="35"/>
      <c r="H45" s="21"/>
      <c r="I45" s="12"/>
    </row>
    <row r="46" ht="15.0" customHeight="1">
      <c r="A46" s="37"/>
      <c r="B46" s="8"/>
      <c r="C46" s="8"/>
      <c r="D46" s="8"/>
      <c r="E46" s="25"/>
      <c r="F46" s="38" t="s">
        <v>45</v>
      </c>
      <c r="G46" s="11"/>
      <c r="H46" s="39">
        <f>H15+H16+H17+H18+H19+H20+H21+H22+H23+H25+H26+H27+H28+H31+H32+H33</f>
        <v>33344.8</v>
      </c>
      <c r="I46" s="12"/>
    </row>
    <row r="47">
      <c r="D47" s="21"/>
      <c r="E47" s="40"/>
      <c r="F47" s="41"/>
      <c r="G47" s="10"/>
      <c r="H47" s="42"/>
      <c r="I47" s="12"/>
    </row>
    <row r="48">
      <c r="D48" s="21"/>
      <c r="E48" s="40" t="s">
        <v>46</v>
      </c>
      <c r="F48" s="41"/>
      <c r="G48" s="10"/>
      <c r="H48" s="43">
        <v>26827.0</v>
      </c>
      <c r="I48" s="12"/>
    </row>
    <row r="49">
      <c r="A49" s="15"/>
      <c r="B49" s="15"/>
      <c r="C49" s="15"/>
      <c r="D49" s="17"/>
      <c r="E49" s="41" t="s">
        <v>47</v>
      </c>
      <c r="F49" s="10"/>
      <c r="G49" s="10"/>
      <c r="H49" s="44">
        <f>H46-H48</f>
        <v>6517.8</v>
      </c>
      <c r="I49" s="12"/>
    </row>
    <row r="50">
      <c r="E50" s="14"/>
      <c r="F50" s="15"/>
      <c r="G50" s="15"/>
      <c r="H50" s="15"/>
    </row>
    <row r="51">
      <c r="A51" s="3" t="s">
        <v>48</v>
      </c>
    </row>
    <row r="52">
      <c r="A52" s="3" t="s">
        <v>49</v>
      </c>
    </row>
    <row r="53">
      <c r="A53" s="3" t="s">
        <v>50</v>
      </c>
    </row>
    <row r="55">
      <c r="A55" s="45" t="s">
        <v>51</v>
      </c>
    </row>
    <row r="56">
      <c r="A56" s="46" t="s">
        <v>52</v>
      </c>
    </row>
    <row r="57">
      <c r="A57" s="47"/>
    </row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E49:F49"/>
    <mergeCell ref="A51:E51"/>
    <mergeCell ref="A52:E52"/>
    <mergeCell ref="A53:E53"/>
    <mergeCell ref="A55:H55"/>
    <mergeCell ref="A56:H56"/>
    <mergeCell ref="A57:G57"/>
    <mergeCell ref="A41:E41"/>
    <mergeCell ref="A42:E42"/>
    <mergeCell ref="A43:E43"/>
    <mergeCell ref="A44:E44"/>
    <mergeCell ref="A45:E45"/>
    <mergeCell ref="A46:E46"/>
    <mergeCell ref="F46:G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