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<sst xmlns="http://schemas.openxmlformats.org/spreadsheetml/2006/main" count="43" uniqueCount="43">
  <si>
    <t>Biaggio Flooring LLC</t>
  </si>
  <si>
    <t>Estimate</t>
  </si>
  <si>
    <t>2373 Lake Debra dr #2314</t>
  </si>
  <si>
    <t>DATE:</t>
  </si>
  <si>
    <t>Orlando Fl 32835</t>
  </si>
  <si>
    <t>Estimate #:</t>
  </si>
  <si>
    <t>Phone: 321-6821090</t>
  </si>
  <si>
    <t>Representative:</t>
  </si>
  <si>
    <t>Terms:</t>
  </si>
  <si>
    <t>Project ID:</t>
  </si>
  <si>
    <t>larken</t>
  </si>
  <si>
    <t>Customer Information</t>
  </si>
  <si>
    <t>Name:</t>
  </si>
  <si>
    <t>LArken Pahlow</t>
  </si>
  <si>
    <t>Phone:</t>
  </si>
  <si>
    <t>Address:</t>
  </si>
  <si>
    <t>329 west 2nd ave</t>
  </si>
  <si>
    <t>Cell:</t>
  </si>
  <si>
    <t>City, St. Zip:</t>
  </si>
  <si>
    <t>Longwood 32750</t>
  </si>
  <si>
    <t>Email:</t>
  </si>
  <si>
    <t>Description (labor only)</t>
  </si>
  <si>
    <t>Qty</t>
  </si>
  <si>
    <t>Price</t>
  </si>
  <si>
    <t>Amount</t>
  </si>
  <si>
    <t>demo wall ( trash disposal not included)</t>
  </si>
  <si>
    <t>cement board. per sqf(with water proof)</t>
  </si>
  <si>
    <t>basic installation on wall tile rectified( 12×24)</t>
  </si>
  <si>
    <t>niche( framing and installing ) price per niche add $ 400</t>
  </si>
  <si>
    <t>floor demo Add $100</t>
  </si>
  <si>
    <t>basic installation ceramic tile floor ( 24x24) add $160.00</t>
  </si>
  <si>
    <t>mosaic band price add $350 up to  15 linear feet .</t>
  </si>
  <si>
    <t>outside wall  install $260</t>
  </si>
  <si>
    <t>outside wall install demo and cement board **$130.00</t>
  </si>
  <si>
    <t xml:space="preserve">floor prep price( self leveling  30 per bag  application) if necessary </t>
  </si>
  <si>
    <t xml:space="preserve">floor prep price grinder  60/ hour/ if necessary </t>
  </si>
  <si>
    <t>Subtotal</t>
  </si>
  <si>
    <t>Total:</t>
  </si>
  <si>
    <t>Terms: 50% due to order/schedule. Balance due upon completion</t>
  </si>
  <si>
    <t>Make all checks payable to Biaggio Flooring LLC</t>
  </si>
  <si>
    <t>If you have any questions, please call us at 321-682 1090</t>
  </si>
  <si>
    <t>THANK YOU !</t>
  </si>
  <si>
    <t>May God Bless,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</si>
</sst>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/dd/yyyy"/>
  </numFmts>
  <fonts count="8">
    <font>
      <sz val="10.0"/>
      <color rgb="FF000000"/>
      <name val="Arial"/>
    </font>
    <font>
      <sz val="18.0"/>
    </font>
    <font>
      <sz val="18.0"/>
      <color rgb="FF99CCFF"/>
    </font>
    <font/>
    <font>
      <b/>
      <sz val="10.0"/>
    </font>
    <font>
      <b/>
      <sz val="10.0"/>
      <color rgb="FF000000"/>
    </font>
    <font>
      <sz val="12.0"/>
    </font>
    <font>
      <b/>
      <sz val="12.0"/>
    </font>
  </fonts>
  <fills count="4">
    <fill>
      <patternFill patternType="none"/>
    </fill>
    <fill>
      <patternFill patternType="lightGray"/>
    </fill>
    <fill>
      <patternFill patternType="solid">
        <fgColor rgb="FFCCFFFF"/>
        <bgColor rgb="FFCCFFFF"/>
      </patternFill>
    </fill>
    <fill>
      <patternFill patternType="solid">
        <fgColor rgb="FFFFFF00"/>
        <bgColor rgb="FFFFFF00"/>
      </patternFill>
    </fill>
  </fills>
  <borders count="16">
    <border/>
    <border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46">
    <xf borderId="0" fillId="0" fontId="0" numFmtId="0" xfId="0" applyAlignment="1" applyFont="1">
      <alignment readingOrder="0" shrinkToFit="0" vertical="bottom" wrapText="1"/>
    </xf>
    <xf borderId="0" fillId="0" fontId="1" numFmtId="0" xfId="0" applyAlignment="1" applyFont="1">
      <alignment horizontal="left" readingOrder="0" shrinkToFit="0" vertical="bottom" wrapText="1"/>
    </xf>
    <xf borderId="0" fillId="0" fontId="2" numFmtId="0" xfId="0" applyAlignment="1" applyFont="1">
      <alignment horizontal="center" readingOrder="0" shrinkToFit="0" vertical="bottom" wrapText="1"/>
    </xf>
    <xf borderId="0" fillId="0" fontId="3" numFmtId="0" xfId="0" applyAlignment="1" applyFont="1">
      <alignment readingOrder="0" shrinkToFit="0" wrapText="1"/>
    </xf>
    <xf borderId="0" fillId="0" fontId="4" numFmtId="0" xfId="0" applyAlignment="1" applyFont="1">
      <alignment horizontal="right" readingOrder="0" shrinkToFit="0" vertical="bottom" wrapText="1"/>
    </xf>
    <xf borderId="0" fillId="0" fontId="3" numFmtId="164" xfId="0" applyAlignment="1" applyFont="1" applyNumberFormat="1">
      <alignment readingOrder="0" shrinkToFit="0" wrapText="1"/>
    </xf>
    <xf borderId="0" fillId="0" fontId="3" numFmtId="0" xfId="0" applyAlignment="1" applyFont="1">
      <alignment horizontal="right" readingOrder="0" shrinkToFit="0" vertical="bottom" wrapText="1"/>
    </xf>
    <xf borderId="1" fillId="0" fontId="3" numFmtId="0" xfId="0" applyAlignment="1" applyBorder="1" applyFont="1">
      <alignment shrinkToFit="0" wrapText="1"/>
    </xf>
    <xf borderId="2" fillId="2" fontId="5" numFmtId="0" xfId="0" applyAlignment="1" applyBorder="1" applyFill="1" applyFont="1">
      <alignment horizontal="center" readingOrder="0" shrinkToFit="0" vertical="bottom" wrapText="1"/>
    </xf>
    <xf borderId="3" fillId="0" fontId="3" numFmtId="0" xfId="0" applyAlignment="1" applyBorder="1" applyFont="1">
      <alignment shrinkToFit="0" wrapText="1"/>
    </xf>
    <xf borderId="4" fillId="0" fontId="3" numFmtId="0" xfId="0" applyAlignment="1" applyBorder="1" applyFont="1">
      <alignment shrinkToFit="0" wrapText="1"/>
    </xf>
    <xf borderId="5" fillId="0" fontId="3" numFmtId="0" xfId="0" applyAlignment="1" applyBorder="1" applyFont="1">
      <alignment shrinkToFit="0" wrapText="1"/>
    </xf>
    <xf borderId="6" fillId="0" fontId="3" numFmtId="0" xfId="0" applyAlignment="1" applyBorder="1" applyFont="1">
      <alignment readingOrder="0" shrinkToFit="0" wrapText="1"/>
    </xf>
    <xf borderId="7" fillId="0" fontId="3" numFmtId="0" xfId="0" applyAlignment="1" applyBorder="1" applyFont="1">
      <alignment readingOrder="0" shrinkToFit="0" wrapText="1"/>
    </xf>
    <xf borderId="7" fillId="0" fontId="3" numFmtId="0" xfId="0" applyAlignment="1" applyBorder="1" applyFont="1">
      <alignment shrinkToFit="0" wrapText="1"/>
    </xf>
    <xf borderId="7" fillId="0" fontId="3" numFmtId="0" xfId="0" applyAlignment="1" applyBorder="1" applyFont="1">
      <alignment readingOrder="0" shrinkToFit="0" wrapText="1"/>
    </xf>
    <xf borderId="8" fillId="0" fontId="3" numFmtId="0" xfId="0" applyAlignment="1" applyBorder="1" applyFont="1">
      <alignment shrinkToFit="0" wrapText="1"/>
    </xf>
    <xf borderId="5" fillId="0" fontId="3" numFmtId="0" xfId="0" applyAlignment="1" applyBorder="1" applyFont="1">
      <alignment readingOrder="0" shrinkToFit="0" wrapText="1"/>
    </xf>
    <xf borderId="0" fillId="0" fontId="3" numFmtId="0" xfId="0" applyAlignment="1" applyFont="1">
      <alignment readingOrder="0" shrinkToFit="0" wrapText="1"/>
    </xf>
    <xf borderId="0" fillId="0" fontId="3" numFmtId="0" xfId="0" applyAlignment="1" applyFont="1">
      <alignment shrinkToFit="0" wrapText="1"/>
    </xf>
    <xf borderId="9" fillId="0" fontId="3" numFmtId="0" xfId="0" applyAlignment="1" applyBorder="1" applyFont="1">
      <alignment shrinkToFit="0" wrapText="1"/>
    </xf>
    <xf borderId="10" fillId="0" fontId="3" numFmtId="0" xfId="0" applyAlignment="1" applyBorder="1" applyFont="1">
      <alignment readingOrder="0" shrinkToFit="0" wrapText="1"/>
    </xf>
    <xf borderId="1" fillId="0" fontId="3" numFmtId="0" xfId="0" applyAlignment="1" applyBorder="1" applyFont="1">
      <alignment readingOrder="0" shrinkToFit="0" wrapText="1"/>
    </xf>
    <xf borderId="1" fillId="0" fontId="3" numFmtId="0" xfId="0" applyAlignment="1" applyBorder="1" applyFont="1">
      <alignment readingOrder="0" shrinkToFit="0" wrapText="1"/>
    </xf>
    <xf borderId="11" fillId="0" fontId="3" numFmtId="0" xfId="0" applyAlignment="1" applyBorder="1" applyFont="1">
      <alignment shrinkToFit="0" wrapText="1"/>
    </xf>
    <xf borderId="2" fillId="2" fontId="6" numFmtId="0" xfId="0" applyAlignment="1" applyBorder="1" applyFont="1">
      <alignment horizontal="center" readingOrder="0" shrinkToFit="0" vertical="bottom" wrapText="1"/>
    </xf>
    <xf borderId="12" fillId="2" fontId="6" numFmtId="0" xfId="0" applyAlignment="1" applyBorder="1" applyFont="1">
      <alignment horizontal="center" readingOrder="0" shrinkToFit="0" vertical="bottom" wrapText="1"/>
    </xf>
    <xf borderId="6" fillId="0" fontId="3" numFmtId="0" xfId="0" applyAlignment="1" applyBorder="1" applyFont="1">
      <alignment readingOrder="0" shrinkToFit="0" wrapText="1"/>
    </xf>
    <xf borderId="13" fillId="0" fontId="3" numFmtId="0" xfId="0" applyAlignment="1" applyBorder="1" applyFont="1">
      <alignment readingOrder="0" shrinkToFit="0" wrapText="1"/>
    </xf>
    <xf borderId="13" fillId="0" fontId="3" numFmtId="0" xfId="0" applyAlignment="1" applyBorder="1" applyFont="1">
      <alignment shrinkToFit="0" wrapText="1"/>
    </xf>
    <xf borderId="5" fillId="0" fontId="3" numFmtId="0" xfId="0" applyAlignment="1" applyBorder="1" applyFont="1">
      <alignment readingOrder="0" shrinkToFit="0" wrapText="1"/>
    </xf>
    <xf borderId="14" fillId="0" fontId="3" numFmtId="0" xfId="0" applyAlignment="1" applyBorder="1" applyFont="1">
      <alignment readingOrder="0" shrinkToFit="0" wrapText="1"/>
    </xf>
    <xf borderId="14" fillId="0" fontId="3" numFmtId="0" xfId="0" applyAlignment="1" applyBorder="1" applyFont="1">
      <alignment shrinkToFit="0" wrapText="1"/>
    </xf>
    <xf borderId="14" fillId="0" fontId="3" numFmtId="0" xfId="0" applyAlignment="1" applyBorder="1" applyFont="1">
      <alignment readingOrder="0" shrinkToFit="0" wrapText="1"/>
    </xf>
    <xf borderId="14" fillId="3" fontId="3" numFmtId="0" xfId="0" applyAlignment="1" applyBorder="1" applyFill="1" applyFont="1">
      <alignment shrinkToFit="0" wrapText="1"/>
    </xf>
    <xf borderId="2" fillId="0" fontId="3" numFmtId="0" xfId="0" applyAlignment="1" applyBorder="1" applyFont="1">
      <alignment readingOrder="0" shrinkToFit="0" wrapText="1"/>
    </xf>
    <xf borderId="10" fillId="0" fontId="3" numFmtId="0" xfId="0" applyAlignment="1" applyBorder="1" applyFont="1">
      <alignment readingOrder="0" shrinkToFit="0" wrapText="1"/>
    </xf>
    <xf borderId="2" fillId="0" fontId="3" numFmtId="0" xfId="0" applyAlignment="1" applyBorder="1" applyFont="1">
      <alignment readingOrder="0" shrinkToFit="0" wrapText="1"/>
    </xf>
    <xf borderId="4" fillId="0" fontId="3" numFmtId="0" xfId="0" applyAlignment="1" applyBorder="1" applyFont="1">
      <alignment readingOrder="0" shrinkToFit="0" wrapText="1"/>
    </xf>
    <xf borderId="15" fillId="0" fontId="3" numFmtId="0" xfId="0" applyAlignment="1" applyBorder="1" applyFont="1">
      <alignment shrinkToFit="0" wrapText="1"/>
    </xf>
    <xf borderId="2" fillId="3" fontId="7" numFmtId="0" xfId="0" applyAlignment="1" applyBorder="1" applyFill="1" applyFont="1">
      <alignment readingOrder="0" shrinkToFit="0" wrapText="1"/>
    </xf>
    <xf borderId="3" fillId="3" fontId="3" numFmtId="0" xfId="0" applyAlignment="1" applyBorder="1" applyFont="1">
      <alignment shrinkToFit="0" wrapText="1"/>
    </xf>
    <xf borderId="4" fillId="3" fontId="3" numFmtId="0" xfId="0" applyAlignment="1" applyBorder="1" applyFont="1">
      <alignment shrinkToFit="0" wrapText="1"/>
    </xf>
    <xf borderId="0" fillId="0" fontId="4" numFmtId="0" xfId="0" applyAlignment="1" applyFont="1">
      <alignment horizontal="center" readingOrder="0" shrinkToFit="0" vertical="bottom" wrapText="1"/>
    </xf>
    <xf borderId="0" fillId="0" fontId="3" numFmtId="0" xfId="0" applyAlignment="1" applyFont="1">
      <alignment horizontal="center" readingOrder="0" shrinkToFit="0" vertical="bottom" wrapText="1"/>
    </xf>
    <xf borderId="0" fillId="0" fontId="3" numFmtId="0" xfId="0" applyAlignment="1" applyFont="1">
      <alignment horizontal="center"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2.75"/>
  <cols>
    <col customWidth="1" min="1" max="1" width="15.13"/>
    <col customWidth="1" min="2" max="2" width="6.25"/>
    <col customWidth="1" min="3" max="3" width="8.75"/>
    <col customWidth="1" min="4" max="4" width="8.13"/>
    <col customWidth="1" min="5" max="5" width="23.63"/>
    <col customWidth="1" min="6" max="6" width="6.0"/>
    <col customWidth="1" min="7" max="7" width="7.75"/>
    <col customWidth="1" min="8" max="8" width="12.0"/>
    <col customWidth="1" min="9" max="20" width="15.13"/>
  </cols>
  <sheetData>
    <row r="1">
      <c r="A1" s="1" t="s">
        <v>0</v>
      </c>
      <c r="G1" s="2" t="s">
        <v>1</v>
      </c>
    </row>
    <row r="2">
      <c r="A2" s="3" t="s">
        <v>2</v>
      </c>
      <c r="G2" s="4" t="s">
        <v>3</v>
      </c>
      <c r="H2" s="5">
        <v>44664.0</v>
      </c>
    </row>
    <row r="3">
      <c r="A3" s="3" t="s">
        <v>4</v>
      </c>
      <c r="F3" s="4" t="s">
        <v>5</v>
      </c>
      <c r="H3" s="3">
        <v>2244.0</v>
      </c>
    </row>
    <row r="4">
      <c r="A4" s="3" t="s">
        <v>6</v>
      </c>
      <c r="F4" s="6" t="s">
        <v>7</v>
      </c>
    </row>
    <row r="5">
      <c r="G5" s="6" t="s">
        <v>8</v>
      </c>
    </row>
    <row r="6">
      <c r="F6" s="6" t="s">
        <v>9</v>
      </c>
      <c r="H6" s="3" t="s">
        <v>10</v>
      </c>
    </row>
    <row r="8">
      <c r="A8" s="7"/>
      <c r="B8" s="7"/>
      <c r="C8" s="7"/>
      <c r="D8" s="7"/>
      <c r="E8" s="7"/>
      <c r="F8" s="7"/>
      <c r="G8" s="7"/>
      <c r="H8" s="7"/>
    </row>
    <row r="9">
      <c r="A9" s="8" t="s">
        <v>11</v>
      </c>
      <c r="B9" s="9"/>
      <c r="C9" s="9"/>
      <c r="D9" s="9"/>
      <c r="E9" s="9"/>
      <c r="F9" s="9"/>
      <c r="G9" s="9"/>
      <c r="H9" s="10"/>
      <c r="I9" s="11"/>
    </row>
    <row r="10">
      <c r="A10" s="12" t="s">
        <v>12</v>
      </c>
      <c r="B10" s="13" t="s">
        <v>13</v>
      </c>
      <c r="C10" s="14"/>
      <c r="D10" s="14"/>
      <c r="E10" s="14"/>
      <c r="F10" s="15" t="s">
        <v>14</v>
      </c>
      <c r="G10" s="13"/>
      <c r="H10" s="16"/>
      <c r="I10" s="11"/>
    </row>
    <row r="11">
      <c r="A11" s="17" t="s">
        <v>15</v>
      </c>
      <c r="B11" s="3" t="s">
        <v>16</v>
      </c>
      <c r="F11" s="18" t="s">
        <v>17</v>
      </c>
      <c r="G11" s="19"/>
      <c r="H11" s="20"/>
      <c r="I11" s="11"/>
    </row>
    <row r="12">
      <c r="A12" s="21" t="s">
        <v>18</v>
      </c>
      <c r="B12" s="22" t="s">
        <v>19</v>
      </c>
      <c r="C12" s="7"/>
      <c r="D12" s="7"/>
      <c r="E12" s="7"/>
      <c r="F12" s="23" t="s">
        <v>20</v>
      </c>
      <c r="G12" s="7"/>
      <c r="H12" s="24"/>
      <c r="I12" s="11"/>
    </row>
    <row r="13">
      <c r="A13" s="9"/>
      <c r="B13" s="9"/>
      <c r="C13" s="9"/>
      <c r="D13" s="9"/>
      <c r="E13" s="9"/>
      <c r="F13" s="9"/>
      <c r="G13" s="9"/>
      <c r="H13" s="9"/>
    </row>
    <row r="14">
      <c r="A14" s="25" t="s">
        <v>21</v>
      </c>
      <c r="B14" s="9"/>
      <c r="C14" s="9"/>
      <c r="D14" s="9"/>
      <c r="E14" s="9"/>
      <c r="F14" s="26" t="s">
        <v>22</v>
      </c>
      <c r="G14" s="26" t="s">
        <v>23</v>
      </c>
      <c r="H14" s="26" t="s">
        <v>24</v>
      </c>
      <c r="I14" s="11"/>
    </row>
    <row r="15" ht="15.0" customHeight="1">
      <c r="A15" s="27" t="s">
        <v>25</v>
      </c>
      <c r="B15" s="14"/>
      <c r="C15" s="14"/>
      <c r="D15" s="14"/>
      <c r="E15" s="16"/>
      <c r="F15" s="28">
        <v>66.0</v>
      </c>
      <c r="G15" s="28">
        <v>4.0</v>
      </c>
      <c r="H15" s="29">
        <f t="shared" ref="H15:H16" si="1">G15*F15</f>
        <v>264</v>
      </c>
      <c r="I15" s="11"/>
    </row>
    <row r="16" ht="15.0" customHeight="1">
      <c r="A16" s="30" t="s">
        <v>26</v>
      </c>
      <c r="E16" s="20"/>
      <c r="F16" s="31">
        <v>66.0</v>
      </c>
      <c r="G16" s="31">
        <v>2.5</v>
      </c>
      <c r="H16" s="32">
        <f t="shared" si="1"/>
        <v>165</v>
      </c>
      <c r="I16" s="11"/>
    </row>
    <row r="17" ht="15.0" customHeight="1">
      <c r="A17" s="30" t="s">
        <v>27</v>
      </c>
      <c r="E17" s="20"/>
      <c r="F17" s="31">
        <v>66.0</v>
      </c>
      <c r="G17" s="31">
        <v>13.0</v>
      </c>
      <c r="H17" s="31">
        <f>F17*G17</f>
        <v>858</v>
      </c>
      <c r="I17" s="11"/>
    </row>
    <row r="18" ht="15.0" customHeight="1">
      <c r="A18" s="30" t="s">
        <v>28</v>
      </c>
      <c r="E18" s="20"/>
      <c r="F18" s="31"/>
      <c r="G18" s="31"/>
      <c r="H18" s="31">
        <f>G18*F18</f>
        <v>0</v>
      </c>
      <c r="I18" s="11"/>
    </row>
    <row r="19">
      <c r="A19" s="3" t="s">
        <v>29</v>
      </c>
      <c r="F19" s="32"/>
      <c r="G19" s="20"/>
      <c r="H19" s="20"/>
    </row>
    <row r="20" ht="15.0" customHeight="1">
      <c r="A20" s="30" t="s">
        <v>30</v>
      </c>
      <c r="E20" s="20"/>
      <c r="F20" s="31"/>
      <c r="G20" s="31"/>
      <c r="H20" s="32">
        <f>G20*F20</f>
        <v>0</v>
      </c>
      <c r="I20" s="11"/>
    </row>
    <row r="21" ht="15.0" customHeight="1">
      <c r="A21" s="30" t="s">
        <v>31</v>
      </c>
      <c r="E21" s="20"/>
      <c r="F21" s="31"/>
      <c r="G21" s="31"/>
      <c r="H21" s="31"/>
      <c r="I21" s="11"/>
    </row>
    <row r="22" ht="15.0" customHeight="1">
      <c r="A22" s="30" t="s">
        <v>32</v>
      </c>
      <c r="E22" s="20"/>
      <c r="F22" s="31"/>
      <c r="G22" s="31"/>
      <c r="H22" s="32"/>
      <c r="I22" s="11"/>
    </row>
    <row r="23" ht="15.0" customHeight="1">
      <c r="A23" s="30" t="s">
        <v>33</v>
      </c>
      <c r="E23" s="20"/>
      <c r="F23" s="31"/>
      <c r="G23" s="31"/>
      <c r="H23" s="31"/>
      <c r="I23" s="11"/>
    </row>
    <row r="24" ht="15.0" customHeight="1">
      <c r="A24" s="30" t="s">
        <v>34</v>
      </c>
      <c r="E24" s="20"/>
      <c r="F24" s="31"/>
      <c r="G24" s="31"/>
      <c r="H24" s="32"/>
      <c r="I24" s="11"/>
    </row>
    <row r="25" ht="15.0" customHeight="1">
      <c r="A25" s="30" t="s">
        <v>35</v>
      </c>
      <c r="E25" s="20"/>
      <c r="F25" s="33"/>
      <c r="G25" s="33"/>
      <c r="H25" s="34"/>
      <c r="I25" s="11"/>
    </row>
    <row r="26" ht="15.0" customHeight="1">
      <c r="A26" s="30"/>
      <c r="E26" s="20"/>
      <c r="F26" s="35" t="s">
        <v>36</v>
      </c>
      <c r="G26" s="10"/>
      <c r="H26" s="34">
        <f>H15+H16+H17</f>
        <v>1287</v>
      </c>
      <c r="I26" s="11"/>
    </row>
    <row r="27" ht="15.0" customHeight="1">
      <c r="A27" s="36"/>
      <c r="B27" s="7"/>
      <c r="C27" s="7"/>
      <c r="D27" s="7"/>
      <c r="E27" s="24"/>
      <c r="F27" s="37"/>
      <c r="G27" s="38"/>
      <c r="H27" s="39"/>
      <c r="I27" s="11"/>
    </row>
    <row r="28">
      <c r="A28" s="14"/>
      <c r="B28" s="14"/>
      <c r="C28" s="14"/>
      <c r="D28" s="16"/>
      <c r="E28" s="40" t="s">
        <v>37</v>
      </c>
      <c r="F28" s="9"/>
      <c r="G28" s="41"/>
      <c r="H28" s="42">
        <f>H26+H27</f>
        <v>1287</v>
      </c>
      <c r="I28" s="11"/>
    </row>
    <row r="29">
      <c r="E29" s="14"/>
      <c r="F29" s="14"/>
      <c r="G29" s="14"/>
      <c r="H29" s="14"/>
    </row>
    <row r="30">
      <c r="A30" s="3" t="s">
        <v>38</v>
      </c>
    </row>
    <row r="31">
      <c r="A31" s="3" t="s">
        <v>39</v>
      </c>
    </row>
    <row r="32">
      <c r="A32" s="3" t="s">
        <v>40</v>
      </c>
    </row>
    <row r="34">
      <c r="A34" s="43" t="s">
        <v>41</v>
      </c>
    </row>
    <row r="35">
      <c r="A35" s="44" t="s">
        <v>42</v>
      </c>
    </row>
    <row r="36">
      <c r="A36" s="45"/>
    </row>
  </sheetData>
  <mergeCells count="37">
    <mergeCell ref="A1:E1"/>
    <mergeCell ref="G1:H1"/>
    <mergeCell ref="A2:B2"/>
    <mergeCell ref="A3:B3"/>
    <mergeCell ref="F3:G3"/>
    <mergeCell ref="A4:B4"/>
    <mergeCell ref="F4:G4"/>
    <mergeCell ref="F6:G6"/>
    <mergeCell ref="A9:H9"/>
    <mergeCell ref="B10:E10"/>
    <mergeCell ref="G10:H10"/>
    <mergeCell ref="B11:E11"/>
    <mergeCell ref="G11:H11"/>
    <mergeCell ref="G12:H12"/>
    <mergeCell ref="B12:E12"/>
    <mergeCell ref="A14:E14"/>
    <mergeCell ref="A15:E15"/>
    <mergeCell ref="A16:E16"/>
    <mergeCell ref="A17:E17"/>
    <mergeCell ref="A18:E18"/>
    <mergeCell ref="A19:E19"/>
    <mergeCell ref="A20:E20"/>
    <mergeCell ref="A21:E21"/>
    <mergeCell ref="A22:E22"/>
    <mergeCell ref="A23:E23"/>
    <mergeCell ref="A24:E24"/>
    <mergeCell ref="A25:E25"/>
    <mergeCell ref="F26:G26"/>
    <mergeCell ref="A35:H35"/>
    <mergeCell ref="A36:G36"/>
    <mergeCell ref="A26:E26"/>
    <mergeCell ref="A27:E27"/>
    <mergeCell ref="E28:F28"/>
    <mergeCell ref="A30:E30"/>
    <mergeCell ref="A31:E31"/>
    <mergeCell ref="A32:E32"/>
    <mergeCell ref="A34:H34"/>
  </mergeCells>
  <drawing r:id="rId1"/>
</worksheet>
</file>