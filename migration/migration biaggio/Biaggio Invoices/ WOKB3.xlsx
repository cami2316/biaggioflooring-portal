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<sst xmlns="http://schemas.openxmlformats.org/spreadsheetml/2006/main" count="53" uniqueCount="46">
  <si>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</si>
  <si>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</si>
  <si>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</si>
  <si>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</si>
  <si>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</si>
  <si>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</si>
  <si>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</si>
  <si>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</si>
  <si>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</si>
  <si>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</si>
  <si>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CLIENT 03</t>
  </si>
  <si>
    <t>Customer Information</t>
  </si>
  <si>
    <t>Name:</t>
  </si>
  <si>
    <t xml:space="preserve">West Orange Kitchen and Bathroom </t>
  </si>
  <si>
    <t>Phone:</t>
  </si>
  <si>
    <t>Address:</t>
  </si>
  <si>
    <t xml:space="preserve">11219 Via Andiamo </t>
  </si>
  <si>
    <t>Cell:</t>
  </si>
  <si>
    <t>City, St. Zip:</t>
  </si>
  <si>
    <t>Windemere</t>
  </si>
  <si>
    <t>Email:</t>
  </si>
  <si>
    <t>Description Labor only</t>
  </si>
  <si>
    <t>Qty</t>
  </si>
  <si>
    <t>Price</t>
  </si>
  <si>
    <t>Amount</t>
  </si>
  <si>
    <t>bath 01</t>
  </si>
  <si>
    <t>Bathroom floor 12X24</t>
  </si>
  <si>
    <t>walls 12x24( cement board not )included</t>
  </si>
  <si>
    <t>niche</t>
  </si>
  <si>
    <t>working around window</t>
  </si>
  <si>
    <t>cement board + menbrane</t>
  </si>
  <si>
    <t>bath 02</t>
  </si>
  <si>
    <t>cement board</t>
  </si>
  <si>
    <t>bath 03</t>
  </si>
  <si>
    <t>ADD small extra preps floats frames all 3 bath</t>
  </si>
  <si>
    <t xml:space="preserve">  ***Cement board $ 2.5 / per sqft  shelf $ 75 / unit</t>
  </si>
  <si>
    <t>TOTAL</t>
  </si>
  <si>
    <t>*** prep:  grinder $75 /hour - 45 self level instal ( labor only)</t>
  </si>
  <si>
    <t xml:space="preserve">paid </t>
  </si>
  <si>
    <t>***bench $200 install $100 prep / Niche  $250.00constr  $300 install</t>
  </si>
  <si>
    <t>pay by the end of the  job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</si>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</sst>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"/>
  </numFmts>
  <fonts count="16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</font>
    <font>
      <name val="Arial"/>
    </font>
    <font>
      <b/>
      <sz val="11.0"/>
      <color rgb="FFFF0000"/>
    </font>
    <font>
      <b/>
      <color rgb="FFFF0000"/>
    </font>
    <font>
      <b/>
      <sz val="12.0"/>
    </font>
    <font>
      <strike/>
    </font>
    <font>
      <b/>
      <sz val="18.0"/>
    </font>
    <font>
      <sz val="8.0"/>
    </font>
    <font>
      <b/>
      <sz val="8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8" numFmtId="0" xfId="0" applyAlignment="1" applyBorder="1" applyFont="1">
      <alignment readingOrder="0" shrinkToFit="0" vertical="bottom" wrapText="1"/>
    </xf>
    <xf borderId="13" fillId="0" fontId="8" numFmtId="0" xfId="0" applyAlignment="1" applyBorder="1" applyFont="1">
      <alignment horizontal="right" readingOrder="0" shrinkToFit="0" vertical="bottom" wrapText="1"/>
    </xf>
    <xf borderId="13" fillId="0" fontId="8" numFmtId="0" xfId="0" applyAlignment="1" applyBorder="1" applyFont="1">
      <alignment horizontal="right" shrinkToFit="0" vertical="bottom" wrapText="1"/>
    </xf>
    <xf borderId="5" fillId="0" fontId="8" numFmtId="0" xfId="0" applyAlignment="1" applyBorder="1" applyFont="1">
      <alignment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2" fillId="0" fontId="9" numFmtId="0" xfId="0" applyAlignment="1" applyBorder="1" applyFont="1">
      <alignment readingOrder="0" shrinkToFit="0" wrapText="1"/>
    </xf>
    <xf borderId="14" fillId="0" fontId="10" numFmtId="0" xfId="0" applyAlignment="1" applyBorder="1" applyFont="1">
      <alignment readingOrder="0" shrinkToFit="0" wrapText="1"/>
    </xf>
    <xf borderId="2" fillId="0" fontId="11" numFmtId="0" xfId="0" applyAlignment="1" applyBorder="1" applyFont="1">
      <alignment readingOrder="0" shrinkToFit="0" wrapText="1"/>
    </xf>
    <xf borderId="3" fillId="0" fontId="12" numFmtId="0" xfId="0" applyAlignment="1" applyBorder="1" applyFont="1">
      <alignment shrinkToFit="0" wrapText="1"/>
    </xf>
    <xf borderId="11" fillId="0" fontId="3" numFmtId="0" xfId="0" applyAlignment="1" applyBorder="1" applyFont="1">
      <alignment readingOrder="0" shrinkToFit="0" wrapText="1"/>
    </xf>
    <xf borderId="10" fillId="0" fontId="11" numFmtId="0" xfId="0" applyAlignment="1" applyBorder="1" applyFont="1">
      <alignment readingOrder="0" shrinkToFit="0" wrapText="1"/>
    </xf>
    <xf borderId="11" fillId="0" fontId="13" numFmtId="0" xfId="0" applyAlignment="1" applyBorder="1" applyFont="1">
      <alignment readingOrder="0" shrinkToFit="0" wrapText="1"/>
    </xf>
    <xf borderId="7" fillId="0" fontId="14" numFmtId="0" xfId="0" applyAlignment="1" applyBorder="1" applyFont="1">
      <alignment shrinkToFit="0" wrapText="1"/>
    </xf>
    <xf borderId="8" fillId="0" fontId="14" numFmtId="0" xfId="0" applyAlignment="1" applyBorder="1" applyFont="1">
      <alignment shrinkToFit="0" wrapText="1"/>
    </xf>
    <xf borderId="2" fillId="0" fontId="15" numFmtId="0" xfId="0" applyAlignment="1" applyBorder="1" applyFont="1">
      <alignment readingOrder="0" shrinkToFit="0" wrapText="1"/>
    </xf>
    <xf borderId="3" fillId="0" fontId="14" numFmtId="0" xfId="0" applyAlignment="1" applyBorder="1" applyFont="1">
      <alignment shrinkToFit="0" wrapText="1"/>
    </xf>
    <xf borderId="4" fillId="0" fontId="15" numFmtId="0" xfId="0" applyAlignment="1" applyBorder="1" applyFont="1">
      <alignment readingOrder="0" shrinkToFit="0" wrapText="1"/>
    </xf>
    <xf borderId="5" fillId="0" fontId="14" numFmtId="0" xfId="0" applyAlignment="1" applyBorder="1" applyFont="1">
      <alignment shrinkToFit="0" wrapText="1"/>
    </xf>
    <xf borderId="0" fillId="0" fontId="14" numFmtId="0" xfId="0" applyAlignment="1" applyFont="1">
      <alignment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37</xdr:row>
      <xdr:rowOff>0</xdr:rowOff>
    </xdr:from>
    <xdr:ext cx="76200" cy="161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45636.0</v>
      </c>
    </row>
    <row r="3">
      <c r="A3" s="3" t="s">
        <v>4</v>
      </c>
      <c r="F3" s="4" t="s">
        <v>5</v>
      </c>
      <c r="H3" s="3">
        <v>2414.0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22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6" t="s">
        <v>24</v>
      </c>
      <c r="I14" s="11"/>
    </row>
    <row r="15" ht="15.0" customHeight="1">
      <c r="A15" s="27" t="s">
        <v>25</v>
      </c>
      <c r="E15" s="20"/>
      <c r="F15" s="28"/>
      <c r="G15" s="28"/>
      <c r="H15" s="28"/>
      <c r="I15" s="11"/>
    </row>
    <row r="16">
      <c r="A16" s="29" t="s">
        <v>26</v>
      </c>
      <c r="E16" s="20"/>
      <c r="F16" s="30">
        <v>27.0</v>
      </c>
      <c r="G16" s="30">
        <v>4.3</v>
      </c>
      <c r="H16" s="31">
        <f t="shared" ref="H16:H18" si="1">G16*F16</f>
        <v>116.1</v>
      </c>
      <c r="I16" s="11"/>
    </row>
    <row r="17" ht="15.0" customHeight="1">
      <c r="A17" s="32" t="s">
        <v>27</v>
      </c>
      <c r="E17" s="20"/>
      <c r="F17" s="30">
        <v>253.0</v>
      </c>
      <c r="G17" s="30">
        <v>10.0</v>
      </c>
      <c r="H17" s="31">
        <f t="shared" si="1"/>
        <v>2530</v>
      </c>
      <c r="I17" s="11"/>
    </row>
    <row r="18" ht="15.0" customHeight="1">
      <c r="A18" s="29" t="s">
        <v>28</v>
      </c>
      <c r="E18" s="20"/>
      <c r="F18" s="30">
        <v>1.0</v>
      </c>
      <c r="G18" s="30">
        <v>250.0</v>
      </c>
      <c r="H18" s="31">
        <f t="shared" si="1"/>
        <v>250</v>
      </c>
      <c r="I18" s="11"/>
    </row>
    <row r="19" ht="15.0" customHeight="1">
      <c r="A19" s="33" t="s">
        <v>29</v>
      </c>
      <c r="E19" s="20"/>
      <c r="F19" s="28">
        <v>1.0</v>
      </c>
      <c r="G19" s="28">
        <v>70.0</v>
      </c>
      <c r="H19" s="28">
        <v>70.0</v>
      </c>
      <c r="I19" s="11"/>
    </row>
    <row r="20" ht="15.0" customHeight="1">
      <c r="A20" s="33" t="s">
        <v>30</v>
      </c>
      <c r="E20" s="20"/>
      <c r="F20" s="28">
        <v>128.0</v>
      </c>
      <c r="G20" s="28">
        <v>2.5</v>
      </c>
      <c r="H20" s="34">
        <f>350</f>
        <v>350</v>
      </c>
      <c r="I20" s="11"/>
    </row>
    <row r="21" ht="15.0" customHeight="1">
      <c r="A21" s="33" t="s">
        <v>31</v>
      </c>
      <c r="E21" s="20"/>
      <c r="F21" s="28"/>
      <c r="G21" s="28"/>
      <c r="H21" s="34"/>
      <c r="I21" s="11"/>
    </row>
    <row r="22" ht="15.0" customHeight="1">
      <c r="A22" s="29" t="s">
        <v>26</v>
      </c>
      <c r="E22" s="20"/>
      <c r="F22" s="28">
        <v>32.0</v>
      </c>
      <c r="G22" s="28">
        <v>4.3</v>
      </c>
      <c r="H22" s="34">
        <f>F22*G22</f>
        <v>137.6</v>
      </c>
      <c r="I22" s="11"/>
    </row>
    <row r="23" ht="15.0" customHeight="1">
      <c r="A23" s="32" t="s">
        <v>27</v>
      </c>
      <c r="E23" s="20"/>
      <c r="F23" s="28">
        <v>218.0</v>
      </c>
      <c r="G23" s="28">
        <v>10.0</v>
      </c>
      <c r="H23" s="34">
        <f t="shared" ref="H23:H25" si="2">G23*F23</f>
        <v>2180</v>
      </c>
      <c r="I23" s="11"/>
    </row>
    <row r="24" ht="15.0" customHeight="1">
      <c r="A24" s="29" t="s">
        <v>28</v>
      </c>
      <c r="E24" s="20"/>
      <c r="F24" s="28">
        <v>1.0</v>
      </c>
      <c r="G24" s="28">
        <v>250.0</v>
      </c>
      <c r="H24" s="34">
        <f t="shared" si="2"/>
        <v>250</v>
      </c>
      <c r="I24" s="11"/>
    </row>
    <row r="25" ht="15.0" customHeight="1">
      <c r="A25" s="33" t="s">
        <v>32</v>
      </c>
      <c r="E25" s="20"/>
      <c r="F25" s="28">
        <v>115.0</v>
      </c>
      <c r="G25" s="28">
        <v>2.5</v>
      </c>
      <c r="H25" s="34">
        <f t="shared" si="2"/>
        <v>287.5</v>
      </c>
      <c r="I25" s="11"/>
    </row>
    <row r="26" ht="15.0" customHeight="1">
      <c r="A26" s="33" t="s">
        <v>33</v>
      </c>
      <c r="E26" s="20"/>
      <c r="F26" s="28"/>
      <c r="G26" s="28"/>
      <c r="H26" s="34"/>
      <c r="I26" s="11"/>
    </row>
    <row r="27" ht="15.0" customHeight="1">
      <c r="A27" s="29" t="s">
        <v>26</v>
      </c>
      <c r="E27" s="20"/>
      <c r="F27" s="28">
        <v>40.0</v>
      </c>
      <c r="G27" s="28">
        <v>4.3</v>
      </c>
      <c r="H27" s="34">
        <f t="shared" ref="H27:H28" si="3">F27*G27</f>
        <v>172</v>
      </c>
      <c r="I27" s="11"/>
    </row>
    <row r="28" ht="15.0" customHeight="1">
      <c r="A28" s="32" t="s">
        <v>27</v>
      </c>
      <c r="E28" s="20"/>
      <c r="F28" s="28">
        <v>240.0</v>
      </c>
      <c r="G28" s="28">
        <v>10.0</v>
      </c>
      <c r="H28" s="34">
        <f t="shared" si="3"/>
        <v>2400</v>
      </c>
      <c r="I28" s="11"/>
    </row>
    <row r="29" ht="15.0" customHeight="1">
      <c r="A29" s="33" t="s">
        <v>28</v>
      </c>
      <c r="E29" s="20"/>
      <c r="F29" s="28">
        <v>1.0</v>
      </c>
      <c r="G29" s="28">
        <v>250.0</v>
      </c>
      <c r="H29" s="28">
        <v>250.0</v>
      </c>
      <c r="I29" s="11"/>
    </row>
    <row r="30" ht="15.0" customHeight="1">
      <c r="A30" s="33" t="s">
        <v>32</v>
      </c>
      <c r="E30" s="20"/>
      <c r="F30" s="28">
        <v>94.0</v>
      </c>
      <c r="G30" s="28">
        <v>2.5</v>
      </c>
      <c r="H30" s="28">
        <f>G30*F30</f>
        <v>235</v>
      </c>
      <c r="I30" s="11"/>
    </row>
    <row r="31" ht="15.0" customHeight="1">
      <c r="A31" s="35" t="s">
        <v>34</v>
      </c>
      <c r="B31" s="14"/>
      <c r="C31" s="14"/>
      <c r="D31" s="14"/>
      <c r="E31" s="16"/>
      <c r="F31" s="36"/>
      <c r="G31" s="36">
        <v>200.0</v>
      </c>
      <c r="H31" s="28">
        <v>200.0</v>
      </c>
      <c r="I31" s="11"/>
    </row>
    <row r="32" ht="15.0" customHeight="1">
      <c r="A32" s="33" t="s">
        <v>35</v>
      </c>
      <c r="E32" s="20"/>
      <c r="F32" s="37" t="s">
        <v>36</v>
      </c>
      <c r="G32" s="24"/>
      <c r="H32" s="34">
        <f>SUM(H16:H31)</f>
        <v>9428.2</v>
      </c>
      <c r="I32" s="11"/>
    </row>
    <row r="33" ht="15.0" customHeight="1">
      <c r="A33" s="33" t="s">
        <v>37</v>
      </c>
      <c r="E33" s="20"/>
      <c r="F33" s="38" t="s">
        <v>38</v>
      </c>
      <c r="G33" s="10"/>
      <c r="H33" s="28">
        <f>6000</f>
        <v>6000</v>
      </c>
      <c r="I33" s="11"/>
    </row>
    <row r="34" ht="15.0" customHeight="1">
      <c r="A34" s="37" t="s">
        <v>39</v>
      </c>
      <c r="B34" s="7"/>
      <c r="C34" s="7"/>
      <c r="D34" s="7"/>
      <c r="E34" s="24"/>
      <c r="F34" s="39" t="s">
        <v>40</v>
      </c>
      <c r="G34" s="10"/>
      <c r="H34" s="40">
        <f>H32-H33</f>
        <v>3428.2</v>
      </c>
      <c r="I34" s="11"/>
    </row>
    <row r="35">
      <c r="D35" s="20"/>
      <c r="E35" s="37"/>
      <c r="F35" s="41"/>
      <c r="G35" s="42"/>
      <c r="H35" s="43"/>
      <c r="I35" s="11"/>
    </row>
    <row r="36">
      <c r="D36" s="20"/>
      <c r="E36" s="44"/>
      <c r="F36" s="41"/>
      <c r="G36" s="9"/>
      <c r="H36" s="45"/>
      <c r="I36" s="11"/>
    </row>
    <row r="37">
      <c r="A37" s="46"/>
      <c r="B37" s="46"/>
      <c r="C37" s="46"/>
      <c r="D37" s="47"/>
      <c r="E37" s="48"/>
      <c r="F37" s="9"/>
      <c r="G37" s="49"/>
      <c r="H37" s="50"/>
      <c r="I37" s="51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</row>
    <row r="38">
      <c r="E38" s="14"/>
      <c r="F38" s="14"/>
      <c r="G38" s="14"/>
      <c r="H38" s="14"/>
    </row>
    <row r="39">
      <c r="A39" s="3" t="s">
        <v>41</v>
      </c>
    </row>
    <row r="40">
      <c r="A40" s="3" t="s">
        <v>42</v>
      </c>
    </row>
    <row r="41">
      <c r="A41" s="3" t="s">
        <v>43</v>
      </c>
    </row>
    <row r="43">
      <c r="A43" s="53" t="s">
        <v>44</v>
      </c>
    </row>
    <row r="44">
      <c r="A44" s="54" t="s">
        <v>45</v>
      </c>
    </row>
    <row r="45">
      <c r="A45" s="55"/>
    </row>
  </sheetData>
  <mergeCells count="46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F32:G32"/>
    <mergeCell ref="A41:E41"/>
    <mergeCell ref="A43:H43"/>
    <mergeCell ref="A44:H44"/>
    <mergeCell ref="A45:G45"/>
    <mergeCell ref="A33:E33"/>
    <mergeCell ref="F33:G33"/>
    <mergeCell ref="A34:E34"/>
    <mergeCell ref="F34:G34"/>
    <mergeCell ref="E37:F37"/>
    <mergeCell ref="A39:E39"/>
    <mergeCell ref="A40:E40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