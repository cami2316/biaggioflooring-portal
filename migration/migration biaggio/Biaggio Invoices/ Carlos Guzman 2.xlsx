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<sst xmlns="http://schemas.openxmlformats.org/spreadsheetml/2006/main" count="42" uniqueCount="42">
  <si>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</si>
  <si>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</si>
  <si>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</si>
  <si>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</si>
  <si>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</si>
  <si>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</si>
  <si>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</si>
  <si>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</si>
  <si>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</si>
  <si>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</si>
  <si>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cg01</t>
  </si>
  <si>
    <t>Customer Information</t>
  </si>
  <si>
    <t>Name:</t>
  </si>
  <si>
    <t>Carlos Guzman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</si>
  <si>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</si>
  <si>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</si>
  <si>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</si>
  <si>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</si>
  <si>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</si>
  <si>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</si>
  <si>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</si>
  <si>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</si>
  <si>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</si>
  <si>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wood floor labor only</t>
  </si>
  <si>
    <t>STEP</t>
  </si>
  <si>
    <t>basic installation ceramic tile floor ( woodlook or up to 24x24)</t>
  </si>
  <si>
    <t>walls (large format) masterbath ***</t>
  </si>
  <si>
    <t>niche( framing and installing )( only installing niche $100)</t>
  </si>
  <si>
    <t>mosaic band</t>
  </si>
  <si>
    <t>showerfloor( mortar bed , installing)</t>
  </si>
  <si>
    <t>guest bathroom wall(3x6)</t>
  </si>
  <si>
    <t>waterproof ( basic)</t>
  </si>
  <si>
    <t>self level bag7 bags of self levels @30.00 each</t>
  </si>
  <si>
    <t>grinder ( floor preparation) 1 floor 11.  2nf floor 3 hours. @ $6/50.00/ hour</t>
  </si>
  <si>
    <t>cement board instalation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</si>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</sst>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43900.0</v>
      </c>
    </row>
    <row r="3">
      <c r="A3" s="3" t="s">
        <v>4</v>
      </c>
      <c r="F3" s="4" t="s">
        <v>5</v>
      </c>
      <c r="H3" s="3">
        <v>2006.0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7"/>
      <c r="C12" s="7"/>
      <c r="D12" s="7"/>
      <c r="E12" s="7"/>
      <c r="F12" s="22" t="s">
        <v>18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19</v>
      </c>
      <c r="B14" s="9"/>
      <c r="C14" s="9"/>
      <c r="D14" s="9"/>
      <c r="E14" s="9"/>
      <c r="F14" s="25" t="s">
        <v>20</v>
      </c>
      <c r="G14" s="25" t="s">
        <v>21</v>
      </c>
      <c r="H14" s="25" t="s">
        <v>22</v>
      </c>
      <c r="I14" s="11"/>
    </row>
    <row r="15" ht="15.0" customHeight="1">
      <c r="A15" s="26" t="s">
        <v>23</v>
      </c>
      <c r="B15" s="14"/>
      <c r="C15" s="14"/>
      <c r="D15" s="14"/>
      <c r="E15" s="16"/>
      <c r="F15" s="27">
        <v>1550.0</v>
      </c>
      <c r="G15" s="27">
        <v>1.75</v>
      </c>
      <c r="H15" s="28">
        <f t="shared" ref="H15:H16" si="1">G15*F15</f>
        <v>2712.5</v>
      </c>
      <c r="I15" s="11"/>
    </row>
    <row r="16" ht="15.0" customHeight="1">
      <c r="A16" s="29" t="s">
        <v>24</v>
      </c>
      <c r="E16" s="20"/>
      <c r="F16" s="30">
        <v>17.0</v>
      </c>
      <c r="G16" s="30">
        <v>65.0</v>
      </c>
      <c r="H16" s="31">
        <f t="shared" si="1"/>
        <v>1105</v>
      </c>
      <c r="I16" s="11"/>
    </row>
    <row r="17" ht="15.0" customHeight="1">
      <c r="A17" s="29" t="s">
        <v>25</v>
      </c>
      <c r="E17" s="20"/>
      <c r="F17" s="30">
        <v>165.25</v>
      </c>
      <c r="G17" s="30">
        <v>3.0</v>
      </c>
      <c r="H17" s="31">
        <f>F17*G17</f>
        <v>495.75</v>
      </c>
      <c r="I17" s="11"/>
    </row>
    <row r="18" ht="15.0" customHeight="1">
      <c r="A18" s="29" t="s">
        <v>26</v>
      </c>
      <c r="E18" s="20"/>
      <c r="F18" s="30">
        <v>105.0</v>
      </c>
      <c r="G18" s="30">
        <v>9.5</v>
      </c>
      <c r="H18" s="30">
        <f t="shared" ref="H18:H19" si="2">G18*F18</f>
        <v>997.5</v>
      </c>
      <c r="I18" s="11"/>
    </row>
    <row r="19" ht="15.0" customHeight="1">
      <c r="A19" s="29" t="s">
        <v>27</v>
      </c>
      <c r="E19" s="20"/>
      <c r="F19" s="30">
        <v>1.0</v>
      </c>
      <c r="G19" s="30">
        <v>150.0</v>
      </c>
      <c r="H19" s="31">
        <f t="shared" si="2"/>
        <v>150</v>
      </c>
      <c r="I19" s="11"/>
    </row>
    <row r="20" ht="15.0" customHeight="1">
      <c r="A20" s="29" t="s">
        <v>28</v>
      </c>
      <c r="E20" s="20"/>
      <c r="F20" s="30">
        <v>1.0</v>
      </c>
      <c r="G20" s="30">
        <v>200.0</v>
      </c>
      <c r="H20" s="30">
        <v>200.0</v>
      </c>
      <c r="I20" s="11"/>
    </row>
    <row r="21" ht="15.0" customHeight="1">
      <c r="A21" s="29" t="s">
        <v>29</v>
      </c>
      <c r="E21" s="20"/>
      <c r="F21" s="30">
        <v>20.0</v>
      </c>
      <c r="G21" s="30">
        <v>15.0</v>
      </c>
      <c r="H21" s="31">
        <f t="shared" ref="H21:H22" si="3">G21*F21</f>
        <v>300</v>
      </c>
      <c r="I21" s="11"/>
    </row>
    <row r="22" ht="15.0" customHeight="1">
      <c r="A22" s="29" t="s">
        <v>30</v>
      </c>
      <c r="E22" s="20"/>
      <c r="F22" s="30">
        <v>70.0</v>
      </c>
      <c r="G22" s="30">
        <v>9.5</v>
      </c>
      <c r="H22" s="31">
        <f t="shared" si="3"/>
        <v>665</v>
      </c>
      <c r="I22" s="11"/>
    </row>
    <row r="23" ht="15.0" customHeight="1">
      <c r="A23" s="29" t="s">
        <v>31</v>
      </c>
      <c r="E23" s="20"/>
      <c r="F23" s="30">
        <v>1.0</v>
      </c>
      <c r="G23" s="30">
        <v>50.0</v>
      </c>
      <c r="H23" s="30">
        <v>50.0</v>
      </c>
      <c r="I23" s="11"/>
    </row>
    <row r="24" ht="15.0" customHeight="1">
      <c r="A24" s="29" t="s">
        <v>32</v>
      </c>
      <c r="E24" s="20"/>
      <c r="F24" s="30">
        <v>7.0</v>
      </c>
      <c r="G24" s="30">
        <v>30.0</v>
      </c>
      <c r="H24" s="30">
        <v>210.0</v>
      </c>
      <c r="I24" s="11"/>
    </row>
    <row r="25" ht="15.0" customHeight="1">
      <c r="A25" s="29" t="s">
        <v>33</v>
      </c>
      <c r="E25" s="20"/>
      <c r="F25" s="30">
        <v>14.0</v>
      </c>
      <c r="G25" s="30">
        <v>50.0</v>
      </c>
      <c r="H25" s="31">
        <f>F25*G25</f>
        <v>700</v>
      </c>
      <c r="I25" s="11"/>
    </row>
    <row r="26" ht="15.0" customHeight="1">
      <c r="A26" s="29" t="s">
        <v>34</v>
      </c>
      <c r="E26" s="20"/>
      <c r="F26" s="30">
        <v>100.0</v>
      </c>
      <c r="G26" s="30">
        <v>2.5</v>
      </c>
      <c r="H26" s="31">
        <f>G26*F26</f>
        <v>250</v>
      </c>
      <c r="I26" s="11"/>
    </row>
    <row r="27" ht="15.0" customHeight="1">
      <c r="A27" s="29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35</v>
      </c>
      <c r="G28" s="10"/>
      <c r="H28" s="31">
        <f>SUM(H15:H26)</f>
        <v>7835.75</v>
      </c>
      <c r="I28" s="11"/>
    </row>
    <row r="29" ht="15.0" customHeight="1">
      <c r="A29" s="34"/>
      <c r="B29" s="7"/>
      <c r="C29" s="7"/>
      <c r="D29" s="7"/>
      <c r="E29" s="23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36</v>
      </c>
      <c r="F30" s="9"/>
      <c r="G30" s="38"/>
      <c r="H30" s="39">
        <f>H28-H29</f>
        <v>7835.75</v>
      </c>
      <c r="I30" s="11"/>
    </row>
    <row r="31">
      <c r="E31" s="14"/>
      <c r="F31" s="14"/>
      <c r="G31" s="14"/>
      <c r="H31" s="14"/>
    </row>
    <row r="32">
      <c r="A32" s="3" t="s">
        <v>37</v>
      </c>
    </row>
    <row r="33">
      <c r="A33" s="3" t="s">
        <v>38</v>
      </c>
    </row>
    <row r="34">
      <c r="A34" s="3" t="s">
        <v>39</v>
      </c>
    </row>
    <row r="36">
      <c r="A36" s="40" t="s">
        <v>40</v>
      </c>
    </row>
    <row r="37">
      <c r="A37" s="41" t="s">
        <v>41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