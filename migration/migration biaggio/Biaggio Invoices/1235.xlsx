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<sst xmlns="http://schemas.openxmlformats.org/spreadsheetml/2006/main" count="42" uniqueCount="42">
  <si>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</si>
  <si>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</si>
  <si>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</si>
  <si>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</si>
  <si>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</si>
  <si>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</si>
  <si>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</si>
  <si>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</si>
  <si>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</si>
  <si>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</si>
  <si>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</si>
  <si>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</si>
  <si>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Joe Fife</t>
  </si>
  <si>
    <t>Phone:</t>
  </si>
  <si>
    <t>Address:</t>
  </si>
  <si>
    <t xml:space="preserve">546Egret placedr </t>
  </si>
  <si>
    <t>Cell:</t>
  </si>
  <si>
    <t>City, St. Zip:</t>
  </si>
  <si>
    <t>Winter Gardens</t>
  </si>
  <si>
    <t>Email:</t>
  </si>
  <si>
    <t>Description Labor only</t>
  </si>
  <si>
    <t>Qty</t>
  </si>
  <si>
    <t>Price</t>
  </si>
  <si>
    <t>Amount</t>
  </si>
  <si>
    <t>• Support countertop during demolition</t>
  </si>
  <si>
    <t>Demolition work</t>
  </si>
  <si>
    <t>Demo disposal</t>
  </si>
  <si>
    <t>• Install stacked stone</t>
  </si>
  <si>
    <t>Remove and reinstall baseboards and quarter round (minimum service fee applies) not done</t>
  </si>
  <si>
    <t xml:space="preserve">cement board install </t>
  </si>
  <si>
    <t>Estimated Timeframe</t>
  </si>
  <si>
    <t>The countertop support may require additional time depending on site conditions; however, the project is estimated to be completed within three (3) working days.</t>
  </si>
  <si>
    <t>Lowes inv</t>
  </si>
  <si>
    <t>Lowes inv 2</t>
  </si>
  <si>
    <t>TOTAL</t>
  </si>
  <si>
    <t>paid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</si>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</sst>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  <font>
      <strike/>
    </font>
    <font>
      <b/>
      <sz val="9.0"/>
    </font>
    <font>
      <b/>
    </font>
    <font>
      <sz val="8.0"/>
    </font>
    <font>
      <b/>
      <sz val="8.0"/>
    </font>
    <font>
      <b/>
      <sz val="1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31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1216.0</v>
      </c>
    </row>
    <row r="3">
      <c r="A3" s="3" t="s">
        <v>4</v>
      </c>
      <c r="F3" s="4" t="s">
        <v>5</v>
      </c>
      <c r="H3" s="3">
        <v>1235.0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/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10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11</v>
      </c>
      <c r="B10" s="12" t="s">
        <v>12</v>
      </c>
      <c r="C10" s="13"/>
      <c r="D10" s="13"/>
      <c r="E10" s="13"/>
      <c r="F10" s="14" t="s">
        <v>13</v>
      </c>
      <c r="G10" s="13"/>
      <c r="H10" s="15"/>
      <c r="I10" s="10"/>
    </row>
    <row r="11">
      <c r="A11" s="16" t="s">
        <v>14</v>
      </c>
      <c r="B11" s="3" t="s">
        <v>15</v>
      </c>
      <c r="F11" s="17" t="s">
        <v>16</v>
      </c>
      <c r="G11" s="18"/>
      <c r="H11" s="19"/>
      <c r="I11" s="10"/>
    </row>
    <row r="12">
      <c r="A12" s="20" t="s">
        <v>17</v>
      </c>
      <c r="B12" s="21" t="s">
        <v>18</v>
      </c>
      <c r="C12" s="6"/>
      <c r="D12" s="6"/>
      <c r="E12" s="6"/>
      <c r="F12" s="22" t="s">
        <v>19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20</v>
      </c>
      <c r="B14" s="8"/>
      <c r="C14" s="8"/>
      <c r="D14" s="8"/>
      <c r="E14" s="8"/>
      <c r="F14" s="25" t="s">
        <v>21</v>
      </c>
      <c r="G14" s="25" t="s">
        <v>22</v>
      </c>
      <c r="H14" s="25" t="s">
        <v>23</v>
      </c>
      <c r="I14" s="10"/>
    </row>
    <row r="15" ht="15.0" customHeight="1">
      <c r="A15" s="26" t="s">
        <v>24</v>
      </c>
      <c r="E15" s="19"/>
      <c r="F15" s="27">
        <v>1.0</v>
      </c>
      <c r="G15" s="27">
        <v>350.0</v>
      </c>
      <c r="H15" s="27">
        <f t="shared" ref="H15:H20" si="1">G15*F15</f>
        <v>350</v>
      </c>
      <c r="I15" s="10"/>
    </row>
    <row r="16">
      <c r="A16" s="3" t="s">
        <v>25</v>
      </c>
      <c r="E16" s="19"/>
      <c r="F16" s="28">
        <v>47.79</v>
      </c>
      <c r="G16" s="28">
        <v>4.0</v>
      </c>
      <c r="H16" s="29">
        <f t="shared" si="1"/>
        <v>191.16</v>
      </c>
      <c r="I16" s="10"/>
    </row>
    <row r="17">
      <c r="A17" s="26" t="s">
        <v>26</v>
      </c>
      <c r="E17" s="19"/>
      <c r="F17" s="28">
        <v>1.0</v>
      </c>
      <c r="G17" s="28">
        <v>150.0</v>
      </c>
      <c r="H17" s="28">
        <f t="shared" si="1"/>
        <v>150</v>
      </c>
      <c r="I17" s="10"/>
    </row>
    <row r="18">
      <c r="A18" s="3" t="s">
        <v>27</v>
      </c>
      <c r="E18" s="19"/>
      <c r="F18" s="28">
        <v>54.0</v>
      </c>
      <c r="G18" s="28">
        <v>16.0</v>
      </c>
      <c r="H18" s="29">
        <f t="shared" si="1"/>
        <v>864</v>
      </c>
      <c r="I18" s="10"/>
    </row>
    <row r="19" ht="15.0" customHeight="1">
      <c r="A19" s="3" t="s">
        <v>28</v>
      </c>
      <c r="E19" s="19"/>
      <c r="F19" s="28">
        <v>0.0</v>
      </c>
      <c r="G19" s="28">
        <v>150.0</v>
      </c>
      <c r="H19" s="29">
        <f t="shared" si="1"/>
        <v>0</v>
      </c>
      <c r="I19" s="10"/>
    </row>
    <row r="20" ht="15.0" customHeight="1">
      <c r="A20" s="26" t="s">
        <v>29</v>
      </c>
      <c r="E20" s="19"/>
      <c r="F20" s="28">
        <v>6.0</v>
      </c>
      <c r="G20" s="28">
        <v>15.0</v>
      </c>
      <c r="H20" s="29">
        <f t="shared" si="1"/>
        <v>90</v>
      </c>
      <c r="I20" s="10"/>
    </row>
    <row r="21" ht="15.0" customHeight="1">
      <c r="A21" s="3" t="s">
        <v>30</v>
      </c>
      <c r="E21" s="19"/>
      <c r="F21" s="28"/>
      <c r="G21" s="28"/>
      <c r="H21" s="28">
        <f>F21*G21</f>
        <v>0</v>
      </c>
      <c r="I21" s="10"/>
    </row>
    <row r="22" ht="15.0" customHeight="1">
      <c r="A22" s="3" t="s">
        <v>31</v>
      </c>
      <c r="E22" s="19"/>
      <c r="F22" s="28"/>
      <c r="G22" s="28"/>
      <c r="H22" s="28">
        <f t="shared" ref="H22:H25" si="2">G22*F22</f>
        <v>0</v>
      </c>
      <c r="I22" s="10"/>
    </row>
    <row r="23" ht="15.0" customHeight="1">
      <c r="A23" s="26" t="s">
        <v>32</v>
      </c>
      <c r="E23" s="19"/>
      <c r="F23" s="28">
        <v>1.0</v>
      </c>
      <c r="G23" s="28">
        <v>31.03</v>
      </c>
      <c r="H23" s="28">
        <f t="shared" si="2"/>
        <v>31.03</v>
      </c>
      <c r="I23" s="10"/>
    </row>
    <row r="24" ht="15.0" customHeight="1">
      <c r="A24" s="26" t="s">
        <v>33</v>
      </c>
      <c r="E24" s="19"/>
      <c r="F24" s="28">
        <v>1.0</v>
      </c>
      <c r="G24" s="28">
        <v>167.91</v>
      </c>
      <c r="H24" s="28">
        <f t="shared" si="2"/>
        <v>167.91</v>
      </c>
      <c r="I24" s="10"/>
    </row>
    <row r="25" ht="15.0" customHeight="1">
      <c r="A25" s="26"/>
      <c r="E25" s="19"/>
      <c r="F25" s="28"/>
      <c r="G25" s="28"/>
      <c r="H25" s="28">
        <f t="shared" si="2"/>
        <v>0</v>
      </c>
      <c r="I25" s="10"/>
    </row>
    <row r="26" ht="15.0" customHeight="1">
      <c r="A26" s="26"/>
      <c r="E26" s="19"/>
      <c r="F26" s="28"/>
      <c r="G26" s="28"/>
      <c r="H26" s="28"/>
      <c r="I26" s="10"/>
    </row>
    <row r="27" ht="15.0" customHeight="1">
      <c r="A27" s="30"/>
      <c r="B27" s="13"/>
      <c r="C27" s="13"/>
      <c r="D27" s="13"/>
      <c r="E27" s="15"/>
      <c r="F27" s="31"/>
      <c r="G27" s="31"/>
      <c r="H27" s="27"/>
      <c r="I27" s="10"/>
    </row>
    <row r="28" ht="15.0" customHeight="1">
      <c r="A28" s="32"/>
      <c r="E28" s="19"/>
      <c r="F28" s="33" t="s">
        <v>34</v>
      </c>
      <c r="G28" s="23"/>
      <c r="H28" s="34">
        <f>SUM(H15:H26)</f>
        <v>1844.1</v>
      </c>
      <c r="I28" s="10"/>
    </row>
    <row r="29">
      <c r="D29" s="19"/>
      <c r="E29" s="33"/>
      <c r="F29" s="35"/>
      <c r="G29" s="36"/>
      <c r="H29" s="37"/>
      <c r="I29" s="10"/>
    </row>
    <row r="30">
      <c r="D30" s="19"/>
      <c r="E30" s="38" t="s">
        <v>35</v>
      </c>
      <c r="F30" s="35"/>
      <c r="G30" s="8"/>
      <c r="H30" s="39">
        <v>800.0</v>
      </c>
      <c r="I30" s="10"/>
    </row>
    <row r="31">
      <c r="A31" s="40"/>
      <c r="B31" s="40"/>
      <c r="C31" s="40"/>
      <c r="D31" s="41"/>
      <c r="E31" s="42" t="s">
        <v>36</v>
      </c>
      <c r="F31" s="8"/>
      <c r="G31" s="43"/>
      <c r="H31" s="44">
        <f>H28-H30</f>
        <v>1044.1</v>
      </c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>
      <c r="E32" s="13"/>
      <c r="F32" s="13"/>
      <c r="G32" s="13"/>
      <c r="H32" s="13"/>
    </row>
    <row r="33">
      <c r="A33" s="3" t="s">
        <v>37</v>
      </c>
    </row>
    <row r="34">
      <c r="A34" s="3" t="s">
        <v>38</v>
      </c>
    </row>
    <row r="35">
      <c r="A35" s="3" t="s">
        <v>39</v>
      </c>
    </row>
    <row r="37">
      <c r="A37" s="47" t="s">
        <v>40</v>
      </c>
    </row>
    <row r="38">
      <c r="A38" s="48" t="s">
        <v>41</v>
      </c>
    </row>
    <row r="39">
      <c r="A39" s="49"/>
    </row>
  </sheetData>
  <mergeCells count="3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E35"/>
    <mergeCell ref="A37:H37"/>
    <mergeCell ref="A38:H38"/>
    <mergeCell ref="A39:G39"/>
    <mergeCell ref="A27:E27"/>
    <mergeCell ref="A28:E28"/>
    <mergeCell ref="F28:G28"/>
    <mergeCell ref="F30:G30"/>
    <mergeCell ref="E31:F31"/>
    <mergeCell ref="A33:E33"/>
    <mergeCell ref="A34:E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