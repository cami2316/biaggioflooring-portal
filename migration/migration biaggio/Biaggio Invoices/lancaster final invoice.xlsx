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j9byf/L8PNebXhBJOKuOuC6ZRO/JQMefdtMtrOhY8w="/>
    </ext>
  </extLst>
</workbook>
</file>

<file path=xl/sharedStrings.xml><?xml version="1.0" encoding="utf-8"?>
<sst xmlns="http://schemas.openxmlformats.org/spreadsheetml/2006/main" count="61" uniqueCount="61">
  <si>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</si>
  <si>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</si>
  <si>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</si>
  <si>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</si>
  <si>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</si>
  <si>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</si>
  <si>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</si>
  <si>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</si>
  <si>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</si>
  <si>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</si>
  <si>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troy</t>
  </si>
  <si>
    <t>Customer Information</t>
  </si>
  <si>
    <t>Name:</t>
  </si>
  <si>
    <t>TROY</t>
  </si>
  <si>
    <t>Phone:</t>
  </si>
  <si>
    <t>Address:</t>
  </si>
  <si>
    <t>1501 lancaster dr</t>
  </si>
  <si>
    <t>Cell:</t>
  </si>
  <si>
    <t>City, St. Zip:</t>
  </si>
  <si>
    <t xml:space="preserve">orlando </t>
  </si>
  <si>
    <t>Email:</t>
  </si>
  <si>
    <t>Description</t>
  </si>
  <si>
    <t>Qty</t>
  </si>
  <si>
    <t>Price</t>
  </si>
  <si>
    <t>Amount</t>
  </si>
  <si>
    <t>eng wood flooring gluedown Installation Only</t>
  </si>
  <si>
    <t>mainfloor</t>
  </si>
  <si>
    <t>showerfloor( mortar bed , installing)  2x2</t>
  </si>
  <si>
    <t>walls 12x24( cement board not )included</t>
  </si>
  <si>
    <t xml:space="preserve">niche </t>
  </si>
  <si>
    <t xml:space="preserve">walking shower </t>
  </si>
  <si>
    <t>curb</t>
  </si>
  <si>
    <t xml:space="preserve">working around window </t>
  </si>
  <si>
    <t xml:space="preserve">cement board 2 floor bathroons </t>
  </si>
  <si>
    <t>balcony</t>
  </si>
  <si>
    <t>cement board installation  with thinset</t>
  </si>
  <si>
    <t>tile installation 12x24</t>
  </si>
  <si>
    <t xml:space="preserve">waterproof floor </t>
  </si>
  <si>
    <t xml:space="preserve">paper on wood floor and bathroons </t>
  </si>
  <si>
    <t>bath 03</t>
  </si>
  <si>
    <t>prep floor provision ( will be adjuted on final invoice)</t>
  </si>
  <si>
    <t>grinding@70 hour ADJUSTED</t>
  </si>
  <si>
    <t>selflevel application @40/ bag ADJUSTED</t>
  </si>
  <si>
    <t>self level clip</t>
  </si>
  <si>
    <t>adjustments and extras:</t>
  </si>
  <si>
    <t xml:space="preserve">CHECKS </t>
  </si>
  <si>
    <t>7216 $5000</t>
  </si>
  <si>
    <t>7217$5000</t>
  </si>
  <si>
    <t>7218$3766.16</t>
  </si>
  <si>
    <t>7219 $3061.25</t>
  </si>
  <si>
    <t>7233 $5000</t>
  </si>
  <si>
    <t>7246 $5000.00</t>
  </si>
  <si>
    <t>7268 $3000.00</t>
  </si>
  <si>
    <t>total</t>
  </si>
  <si>
    <t>paid</t>
  </si>
  <si>
    <t>please pay ( provision)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</si>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</sst>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  <scheme val="minor"/>
    </font>
    <font>
      <sz val="18.0"/>
      <color theme="1"/>
      <name val="Arial"/>
      <scheme val="minor"/>
    </font>
    <font>
      <sz val="18.0"/>
      <color rgb="FF99CCFF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/>
    <font>
      <sz val="12.0"/>
      <color theme="1"/>
      <name val="Arial"/>
      <scheme val="minor"/>
    </font>
    <font>
      <sz val="9.0"/>
      <color theme="1"/>
      <name val="Arial"/>
      <scheme val="minor"/>
    </font>
    <font>
      <b/>
      <sz val="20.0"/>
      <color theme="1"/>
      <name val="Arial"/>
      <scheme val="minor"/>
    </font>
    <font>
      <b/>
      <sz val="12.0"/>
      <color theme="1"/>
      <name val="Arial"/>
      <scheme val="minor"/>
    </font>
    <font>
      <b/>
      <sz val="16.0"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right" shrinkToFit="0" vertical="bottom" wrapText="1"/>
    </xf>
    <xf borderId="0" fillId="0" fontId="3" numFmtId="164" xfId="0" applyAlignment="1" applyFont="1" applyNumberFormat="1">
      <alignment shrinkToFit="0" wrapText="1"/>
    </xf>
    <xf borderId="0" fillId="0" fontId="3" numFmtId="0" xfId="0" applyAlignment="1" applyFont="1">
      <alignment horizontal="right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shrinkToFit="0" vertical="bottom" wrapText="1"/>
    </xf>
    <xf borderId="3" fillId="0" fontId="6" numFmtId="0" xfId="0" applyAlignment="1" applyBorder="1" applyFont="1">
      <alignment shrinkToFit="0" wrapText="1"/>
    </xf>
    <xf borderId="4" fillId="0" fontId="6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shrinkToFit="0" wrapText="1"/>
    </xf>
    <xf borderId="7" fillId="0" fontId="6" numFmtId="0" xfId="0" applyAlignment="1" applyBorder="1" applyFont="1">
      <alignment shrinkToFit="0" wrapText="1"/>
    </xf>
    <xf borderId="8" fillId="0" fontId="6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10" fillId="0" fontId="3" numFmtId="0" xfId="0" applyAlignment="1" applyBorder="1" applyFont="1">
      <alignment shrinkToFit="0" wrapText="1"/>
    </xf>
    <xf borderId="1" fillId="0" fontId="6" numFmtId="0" xfId="0" applyAlignment="1" applyBorder="1" applyFont="1">
      <alignment shrinkToFit="0" wrapText="1"/>
    </xf>
    <xf borderId="11" fillId="0" fontId="6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2" fillId="2" fontId="7" numFmtId="0" xfId="0" applyAlignment="1" applyBorder="1" applyFont="1">
      <alignment horizontal="center" shrinkToFit="0" vertical="bottom" wrapText="1"/>
    </xf>
    <xf borderId="12" fillId="2" fontId="7" numFmtId="0" xfId="0" applyAlignment="1" applyBorder="1" applyFont="1">
      <alignment horizontal="center" shrinkToFit="0" vertical="bottom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10" fillId="0" fontId="8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15" fillId="0" fontId="9" numFmtId="0" xfId="0" applyAlignment="1" applyBorder="1" applyFont="1">
      <alignment shrinkToFit="0" wrapText="1"/>
    </xf>
    <xf borderId="10" fillId="0" fontId="10" numFmtId="0" xfId="0" applyAlignment="1" applyBorder="1" applyFont="1">
      <alignment shrinkToFit="0" wrapText="1"/>
    </xf>
    <xf borderId="2" fillId="0" fontId="10" numFmtId="0" xfId="0" applyAlignment="1" applyBorder="1" applyFont="1">
      <alignment shrinkToFit="0" wrapText="1"/>
    </xf>
    <xf borderId="11" fillId="0" fontId="3" numFmtId="0" xfId="0" applyAlignment="1" applyBorder="1" applyFont="1">
      <alignment shrinkToFit="0" wrapText="1"/>
    </xf>
    <xf borderId="11" fillId="0" fontId="11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0" fillId="0" fontId="4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3.0"/>
    <col customWidth="1" min="9" max="9" width="15.13"/>
  </cols>
  <sheetData>
    <row r="1" ht="12.75" customHeight="1">
      <c r="A1" s="1" t="s">
        <v>0</v>
      </c>
      <c r="G1" s="2" t="s">
        <v>1</v>
      </c>
    </row>
    <row r="2" ht="12.75" customHeight="1">
      <c r="A2" s="3" t="s">
        <v>2</v>
      </c>
      <c r="G2" s="4" t="s">
        <v>3</v>
      </c>
      <c r="H2" s="5">
        <v>45300.0</v>
      </c>
    </row>
    <row r="3" ht="12.75" customHeight="1">
      <c r="A3" s="3" t="s">
        <v>4</v>
      </c>
      <c r="F3" s="4" t="s">
        <v>5</v>
      </c>
      <c r="H3" s="3">
        <v>240101.0</v>
      </c>
    </row>
    <row r="4" ht="12.75" customHeight="1">
      <c r="A4" s="3" t="s">
        <v>6</v>
      </c>
      <c r="F4" s="6" t="s">
        <v>7</v>
      </c>
      <c r="H4" s="3">
        <v>231204.0</v>
      </c>
    </row>
    <row r="5" ht="12.75" customHeight="1">
      <c r="G5" s="6" t="s">
        <v>8</v>
      </c>
    </row>
    <row r="6" ht="12.75" customHeight="1">
      <c r="F6" s="6" t="s">
        <v>9</v>
      </c>
      <c r="H6" s="3" t="s">
        <v>10</v>
      </c>
    </row>
    <row r="7" ht="12.75" customHeight="1"/>
    <row r="8" ht="12.75" customHeight="1">
      <c r="A8" s="7"/>
      <c r="B8" s="7"/>
      <c r="C8" s="7"/>
      <c r="D8" s="7"/>
      <c r="E8" s="7"/>
      <c r="F8" s="7"/>
      <c r="G8" s="7"/>
      <c r="H8" s="7"/>
    </row>
    <row r="9" ht="12.75" customHeight="1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 ht="12.75" customHeight="1">
      <c r="A10" s="12" t="s">
        <v>12</v>
      </c>
      <c r="B10" s="13" t="s">
        <v>13</v>
      </c>
      <c r="C10" s="14"/>
      <c r="D10" s="14"/>
      <c r="E10" s="14"/>
      <c r="F10" s="13" t="s">
        <v>14</v>
      </c>
      <c r="G10" s="13"/>
      <c r="H10" s="15"/>
      <c r="I10" s="11"/>
    </row>
    <row r="11" ht="12.75" customHeight="1">
      <c r="A11" s="11" t="s">
        <v>15</v>
      </c>
      <c r="B11" s="3" t="s">
        <v>16</v>
      </c>
      <c r="F11" s="3" t="s">
        <v>17</v>
      </c>
      <c r="G11" s="3"/>
      <c r="H11" s="16"/>
      <c r="I11" s="11"/>
    </row>
    <row r="12" ht="12.75" customHeight="1">
      <c r="A12" s="17" t="s">
        <v>18</v>
      </c>
      <c r="B12" s="7" t="s">
        <v>19</v>
      </c>
      <c r="C12" s="18"/>
      <c r="D12" s="18"/>
      <c r="E12" s="18"/>
      <c r="F12" s="7" t="s">
        <v>20</v>
      </c>
      <c r="G12" s="7"/>
      <c r="H12" s="19"/>
      <c r="I12" s="11"/>
    </row>
    <row r="13" ht="12.75" customHeight="1">
      <c r="A13" s="20"/>
      <c r="B13" s="20"/>
      <c r="C13" s="20"/>
      <c r="D13" s="20"/>
      <c r="E13" s="20"/>
      <c r="F13" s="20"/>
      <c r="G13" s="20"/>
      <c r="H13" s="20"/>
    </row>
    <row r="14" ht="12.75" customHeight="1">
      <c r="A14" s="21" t="s">
        <v>21</v>
      </c>
      <c r="B14" s="9"/>
      <c r="C14" s="9"/>
      <c r="D14" s="9"/>
      <c r="E14" s="9"/>
      <c r="F14" s="22" t="s">
        <v>22</v>
      </c>
      <c r="G14" s="22" t="s">
        <v>23</v>
      </c>
      <c r="H14" s="22" t="s">
        <v>24</v>
      </c>
      <c r="I14" s="11"/>
    </row>
    <row r="15" ht="15.0" customHeight="1">
      <c r="A15" s="12" t="s">
        <v>25</v>
      </c>
      <c r="B15" s="14"/>
      <c r="C15" s="14"/>
      <c r="D15" s="14"/>
      <c r="E15" s="15"/>
      <c r="F15" s="23">
        <v>2811.0</v>
      </c>
      <c r="G15" s="23">
        <v>4.1</v>
      </c>
      <c r="H15" s="23">
        <f t="shared" ref="H15:H19" si="1">G15*F15</f>
        <v>11525.1</v>
      </c>
      <c r="I15" s="11"/>
    </row>
    <row r="16" ht="15.0" customHeight="1">
      <c r="A16" s="11" t="s">
        <v>26</v>
      </c>
      <c r="E16" s="16"/>
      <c r="F16" s="24">
        <v>250.0</v>
      </c>
      <c r="G16" s="24">
        <v>4.1</v>
      </c>
      <c r="H16" s="24">
        <f t="shared" si="1"/>
        <v>1025</v>
      </c>
      <c r="I16" s="11"/>
    </row>
    <row r="17" ht="15.0" customHeight="1">
      <c r="A17" s="11" t="s">
        <v>27</v>
      </c>
      <c r="E17" s="16"/>
      <c r="F17" s="24">
        <v>130.0</v>
      </c>
      <c r="G17" s="24">
        <v>30.0</v>
      </c>
      <c r="H17" s="24">
        <f t="shared" si="1"/>
        <v>3900</v>
      </c>
      <c r="I17" s="11"/>
    </row>
    <row r="18" ht="15.0" customHeight="1">
      <c r="A18" s="11" t="s">
        <v>28</v>
      </c>
      <c r="E18" s="16"/>
      <c r="F18" s="24">
        <v>545.0</v>
      </c>
      <c r="G18" s="24">
        <v>12.0</v>
      </c>
      <c r="H18" s="24">
        <f t="shared" si="1"/>
        <v>6540</v>
      </c>
      <c r="I18" s="11"/>
    </row>
    <row r="19" ht="15.0" customHeight="1">
      <c r="A19" s="11" t="s">
        <v>29</v>
      </c>
      <c r="E19" s="16"/>
      <c r="F19" s="24">
        <v>7.0</v>
      </c>
      <c r="G19" s="24">
        <v>150.0</v>
      </c>
      <c r="H19" s="24">
        <f t="shared" si="1"/>
        <v>1050</v>
      </c>
      <c r="I19" s="11"/>
    </row>
    <row r="20" ht="15.0" customHeight="1">
      <c r="A20" s="11" t="s">
        <v>30</v>
      </c>
      <c r="E20" s="16"/>
      <c r="F20" s="24">
        <v>1.0</v>
      </c>
      <c r="G20" s="24">
        <v>100.0</v>
      </c>
      <c r="H20" s="24">
        <f>F20*G20</f>
        <v>100</v>
      </c>
      <c r="I20" s="11"/>
    </row>
    <row r="21" ht="15.0" customHeight="1">
      <c r="A21" s="11" t="s">
        <v>31</v>
      </c>
      <c r="E21" s="16"/>
      <c r="F21" s="24">
        <v>1.0</v>
      </c>
      <c r="G21" s="24">
        <v>100.0</v>
      </c>
      <c r="H21" s="24">
        <f t="shared" ref="H21:H23" si="2">G21*F21</f>
        <v>100</v>
      </c>
      <c r="I21" s="11"/>
    </row>
    <row r="22" ht="15.0" customHeight="1">
      <c r="A22" s="11" t="s">
        <v>32</v>
      </c>
      <c r="E22" s="16"/>
      <c r="F22" s="24">
        <v>2.0</v>
      </c>
      <c r="G22" s="24">
        <v>85.0</v>
      </c>
      <c r="H22" s="24">
        <f t="shared" si="2"/>
        <v>170</v>
      </c>
      <c r="I22" s="11"/>
    </row>
    <row r="23" ht="15.0" customHeight="1">
      <c r="A23" s="11" t="s">
        <v>33</v>
      </c>
      <c r="E23" s="16"/>
      <c r="F23" s="24">
        <v>180.0</v>
      </c>
      <c r="G23" s="24">
        <v>2.5</v>
      </c>
      <c r="H23" s="24">
        <f t="shared" si="2"/>
        <v>450</v>
      </c>
      <c r="I23" s="11"/>
    </row>
    <row r="24" ht="15.0" customHeight="1">
      <c r="A24" s="11" t="s">
        <v>34</v>
      </c>
      <c r="E24" s="16"/>
      <c r="F24" s="24"/>
      <c r="G24" s="24"/>
      <c r="H24" s="24"/>
      <c r="I24" s="11"/>
    </row>
    <row r="25" ht="15.0" customHeight="1">
      <c r="A25" s="11" t="s">
        <v>35</v>
      </c>
      <c r="E25" s="16"/>
      <c r="F25" s="24">
        <v>790.0</v>
      </c>
      <c r="G25" s="24">
        <v>2.9</v>
      </c>
      <c r="H25" s="24">
        <f t="shared" ref="H25:H28" si="3">G25*F25</f>
        <v>2291</v>
      </c>
      <c r="I25" s="11"/>
    </row>
    <row r="26" ht="15.0" customHeight="1">
      <c r="A26" s="11" t="s">
        <v>36</v>
      </c>
      <c r="E26" s="16"/>
      <c r="F26" s="24">
        <v>790.0</v>
      </c>
      <c r="G26" s="24">
        <v>4.1</v>
      </c>
      <c r="H26" s="24">
        <f t="shared" si="3"/>
        <v>3239</v>
      </c>
      <c r="I26" s="11"/>
    </row>
    <row r="27" ht="15.0" customHeight="1">
      <c r="A27" s="11" t="s">
        <v>37</v>
      </c>
      <c r="E27" s="16"/>
      <c r="F27" s="24">
        <v>790.0</v>
      </c>
      <c r="G27" s="24">
        <v>0.75</v>
      </c>
      <c r="H27" s="24">
        <f t="shared" si="3"/>
        <v>592.5</v>
      </c>
      <c r="I27" s="11"/>
    </row>
    <row r="28" ht="15.0" customHeight="1">
      <c r="A28" s="11" t="s">
        <v>38</v>
      </c>
      <c r="E28" s="16"/>
      <c r="F28" s="24">
        <v>3061.0</v>
      </c>
      <c r="G28" s="24">
        <v>0.2</v>
      </c>
      <c r="H28" s="24">
        <f t="shared" si="3"/>
        <v>612.2</v>
      </c>
      <c r="I28" s="11"/>
    </row>
    <row r="29" ht="15.0" customHeight="1">
      <c r="A29" s="11" t="s">
        <v>39</v>
      </c>
      <c r="E29" s="16"/>
      <c r="F29" s="24"/>
      <c r="G29" s="24"/>
      <c r="H29" s="24"/>
      <c r="I29" s="11"/>
    </row>
    <row r="30" ht="15.0" customHeight="1">
      <c r="A30" s="11" t="s">
        <v>40</v>
      </c>
      <c r="E30" s="16"/>
      <c r="F30" s="24"/>
      <c r="G30" s="24"/>
      <c r="H30" s="24"/>
      <c r="I30" s="11"/>
    </row>
    <row r="31" ht="15.0" customHeight="1">
      <c r="A31" s="11" t="s">
        <v>41</v>
      </c>
      <c r="E31" s="16"/>
      <c r="F31" s="24">
        <v>19.0</v>
      </c>
      <c r="G31" s="24">
        <v>70.0</v>
      </c>
      <c r="H31" s="24">
        <f t="shared" ref="H31:H34" si="4">G31*F31</f>
        <v>1330</v>
      </c>
      <c r="I31" s="11"/>
    </row>
    <row r="32" ht="15.0" customHeight="1">
      <c r="A32" s="11" t="s">
        <v>42</v>
      </c>
      <c r="E32" s="16"/>
      <c r="F32" s="24">
        <v>4.0</v>
      </c>
      <c r="G32" s="24">
        <v>40.0</v>
      </c>
      <c r="H32" s="24">
        <f t="shared" si="4"/>
        <v>160</v>
      </c>
      <c r="I32" s="11"/>
    </row>
    <row r="33" ht="15.0" customHeight="1">
      <c r="A33" s="11" t="s">
        <v>43</v>
      </c>
      <c r="E33" s="16"/>
      <c r="F33" s="24">
        <v>2.0</v>
      </c>
      <c r="G33" s="24">
        <v>130.0</v>
      </c>
      <c r="H33" s="24">
        <f t="shared" si="4"/>
        <v>260</v>
      </c>
      <c r="I33" s="11"/>
    </row>
    <row r="34" ht="15.0" customHeight="1">
      <c r="A34" s="11"/>
      <c r="E34" s="16"/>
      <c r="F34" s="24"/>
      <c r="G34" s="24"/>
      <c r="H34" s="24">
        <f t="shared" si="4"/>
        <v>0</v>
      </c>
      <c r="I34" s="11"/>
    </row>
    <row r="35" ht="15.0" customHeight="1">
      <c r="A35" s="11" t="s">
        <v>44</v>
      </c>
      <c r="E35" s="16"/>
      <c r="F35" s="24"/>
      <c r="G35" s="24"/>
      <c r="H35" s="24"/>
      <c r="I35" s="11"/>
    </row>
    <row r="36" ht="15.0" customHeight="1">
      <c r="A36" s="11"/>
      <c r="E36" s="16"/>
      <c r="F36" s="24"/>
      <c r="G36" s="24"/>
      <c r="H36" s="24"/>
      <c r="I36" s="11"/>
    </row>
    <row r="37" ht="15.0" customHeight="1">
      <c r="A37" s="11"/>
      <c r="E37" s="16"/>
      <c r="F37" s="24"/>
      <c r="G37" s="24"/>
      <c r="H37" s="24"/>
      <c r="I37" s="11"/>
    </row>
    <row r="38" ht="15.0" customHeight="1">
      <c r="A38" s="11"/>
      <c r="E38" s="16"/>
      <c r="F38" s="24"/>
      <c r="G38" s="24"/>
      <c r="H38" s="24"/>
      <c r="I38" s="11"/>
    </row>
    <row r="39" ht="15.0" customHeight="1">
      <c r="A39" s="25" t="s">
        <v>45</v>
      </c>
      <c r="E39" s="16"/>
      <c r="F39" s="24"/>
      <c r="G39" s="24"/>
      <c r="H39" s="24"/>
      <c r="I39" s="11"/>
    </row>
    <row r="40" ht="15.0" customHeight="1">
      <c r="A40" s="26" t="s">
        <v>46</v>
      </c>
      <c r="E40" s="16"/>
      <c r="F40" s="27"/>
      <c r="G40" s="27"/>
      <c r="H40" s="27"/>
      <c r="I40" s="11"/>
    </row>
    <row r="41" ht="15.0" customHeight="1">
      <c r="A41" s="26" t="s">
        <v>47</v>
      </c>
      <c r="E41" s="16"/>
      <c r="F41" s="27"/>
      <c r="G41" s="27"/>
      <c r="H41" s="27"/>
      <c r="I41" s="11"/>
    </row>
    <row r="42" ht="15.0" customHeight="1">
      <c r="A42" s="26" t="s">
        <v>48</v>
      </c>
      <c r="E42" s="16"/>
      <c r="F42" s="27"/>
      <c r="G42" s="27"/>
      <c r="H42" s="27"/>
      <c r="I42" s="11"/>
    </row>
    <row r="43" ht="15.0" customHeight="1">
      <c r="A43" s="26" t="s">
        <v>49</v>
      </c>
      <c r="E43" s="16"/>
      <c r="F43" s="27"/>
      <c r="G43" s="27"/>
      <c r="H43" s="27"/>
      <c r="I43" s="11"/>
    </row>
    <row r="44" ht="15.0" customHeight="1">
      <c r="A44" s="26" t="s">
        <v>50</v>
      </c>
      <c r="E44" s="16"/>
      <c r="F44" s="27"/>
      <c r="G44" s="27"/>
      <c r="H44" s="27"/>
      <c r="I44" s="11"/>
    </row>
    <row r="45" ht="15.0" customHeight="1">
      <c r="A45" s="26" t="s">
        <v>51</v>
      </c>
      <c r="E45" s="16"/>
      <c r="F45" s="27"/>
      <c r="G45" s="27"/>
      <c r="H45" s="27"/>
      <c r="I45" s="11"/>
    </row>
    <row r="46">
      <c r="A46" s="28" t="s">
        <v>52</v>
      </c>
      <c r="B46" s="18"/>
      <c r="C46" s="18"/>
      <c r="D46" s="18"/>
      <c r="E46" s="19"/>
      <c r="F46" s="29" t="s">
        <v>53</v>
      </c>
      <c r="G46" s="10"/>
      <c r="H46" s="30">
        <f>H15+H16+H17+H18+H19+H20+H21+H22+H23+H25+H26+H27+H28+H31+H32+H33</f>
        <v>33344.8</v>
      </c>
      <c r="I46" s="11"/>
    </row>
    <row r="47" ht="12.75" customHeight="1">
      <c r="D47" s="27"/>
      <c r="E47" s="31"/>
      <c r="F47" s="32"/>
      <c r="G47" s="20"/>
      <c r="H47" s="33"/>
      <c r="I47" s="11"/>
    </row>
    <row r="48" ht="12.75" customHeight="1">
      <c r="D48" s="27"/>
      <c r="E48" s="31" t="s">
        <v>54</v>
      </c>
      <c r="F48" s="32"/>
      <c r="G48" s="20"/>
      <c r="H48" s="34">
        <v>29827.41</v>
      </c>
      <c r="I48" s="11"/>
    </row>
    <row r="49" ht="12.75" customHeight="1">
      <c r="A49" s="13"/>
      <c r="B49" s="13"/>
      <c r="C49" s="13"/>
      <c r="D49" s="35"/>
      <c r="E49" s="32" t="s">
        <v>55</v>
      </c>
      <c r="F49" s="9"/>
      <c r="G49" s="20"/>
      <c r="H49" s="36">
        <f>H46-H48</f>
        <v>3517.39</v>
      </c>
      <c r="I49" s="11"/>
    </row>
    <row r="50" ht="12.75" customHeight="1">
      <c r="E50" s="13"/>
      <c r="F50" s="13"/>
      <c r="G50" s="13"/>
      <c r="H50" s="13"/>
    </row>
    <row r="51" ht="12.75" customHeight="1">
      <c r="A51" s="3" t="s">
        <v>56</v>
      </c>
    </row>
    <row r="52" ht="12.75" customHeight="1">
      <c r="A52" s="3" t="s">
        <v>57</v>
      </c>
    </row>
    <row r="53" ht="12.75" customHeight="1">
      <c r="A53" s="3" t="s">
        <v>58</v>
      </c>
    </row>
    <row r="54" ht="12.75" customHeight="1"/>
    <row r="55" ht="12.75" customHeight="1">
      <c r="A55" s="37" t="s">
        <v>59</v>
      </c>
    </row>
    <row r="56" ht="12.75" customHeight="1">
      <c r="A56" s="38" t="s">
        <v>60</v>
      </c>
    </row>
    <row r="57" ht="12.75" customHeight="1">
      <c r="A57" s="38"/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6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E49:F49"/>
    <mergeCell ref="A51:E51"/>
    <mergeCell ref="A52:E52"/>
    <mergeCell ref="A53:E53"/>
    <mergeCell ref="A55:H55"/>
    <mergeCell ref="A56:H56"/>
    <mergeCell ref="A57:G57"/>
    <mergeCell ref="A41:E41"/>
    <mergeCell ref="A42:E42"/>
    <mergeCell ref="A43:E43"/>
    <mergeCell ref="A44:E44"/>
    <mergeCell ref="A45:E45"/>
    <mergeCell ref="A46:E46"/>
    <mergeCell ref="F46:G4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