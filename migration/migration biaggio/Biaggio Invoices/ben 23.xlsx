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<sst xmlns="http://schemas.openxmlformats.org/spreadsheetml/2006/main" count="47" uniqueCount="47">
  <si>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</si>
  <si>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</si>
  <si>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</si>
  <si>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</si>
  <si>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</si>
  <si>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</si>
  <si>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</si>
  <si>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</si>
  <si>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</si>
  <si>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</si>
  <si>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ben22</t>
  </si>
  <si>
    <t>Customer Information</t>
  </si>
  <si>
    <t>Name:</t>
  </si>
  <si>
    <t>Ben Jacob</t>
  </si>
  <si>
    <t>Phone:</t>
  </si>
  <si>
    <t>Address:</t>
  </si>
  <si>
    <t>Cell:</t>
  </si>
  <si>
    <t>City, St. Zip:</t>
  </si>
  <si>
    <t>Email:</t>
  </si>
  <si>
    <t>Description Labor only</t>
  </si>
  <si>
    <t>Qty</t>
  </si>
  <si>
    <t>Price</t>
  </si>
  <si>
    <t>Amount</t>
  </si>
  <si>
    <t xml:space="preserve">pool bathroom </t>
  </si>
  <si>
    <t>walls  price for ceramic  tile (couldnt figure out dimentions)</t>
  </si>
  <si>
    <t>cement board  wall (waterproof included</t>
  </si>
  <si>
    <t>floor price for ceramic tile (couldnt figure out dimentions)</t>
  </si>
  <si>
    <t>shower floor ( price forceramic tile)(couldnt figure out dimentions)</t>
  </si>
  <si>
    <t>walking shower</t>
  </si>
  <si>
    <t xml:space="preserve">niche </t>
  </si>
  <si>
    <t>jack and jill bathroom  (price will be adjusted after check material and dimentions)</t>
  </si>
  <si>
    <t>CEMENT board  wall (waterproof included)</t>
  </si>
  <si>
    <t>wall (price  for ceramic tile)</t>
  </si>
  <si>
    <t>floor( price for ceramic tile)</t>
  </si>
  <si>
    <t>work around window</t>
  </si>
  <si>
    <t>niche frame</t>
  </si>
  <si>
    <t>niche install</t>
  </si>
  <si>
    <t>* price to be adjusted after the corrected dimentions</t>
  </si>
  <si>
    <t>add for  **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</si>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</sst>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36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44853.0</v>
      </c>
    </row>
    <row r="3">
      <c r="A3" s="3" t="s">
        <v>4</v>
      </c>
      <c r="F3" s="4" t="s">
        <v>5</v>
      </c>
      <c r="H3" s="3">
        <v>2274.0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F11" s="18" t="s">
        <v>16</v>
      </c>
      <c r="G11" s="19"/>
      <c r="H11" s="20"/>
      <c r="I11" s="11"/>
    </row>
    <row r="12">
      <c r="A12" s="21" t="s">
        <v>17</v>
      </c>
      <c r="B12" s="22"/>
      <c r="C12" s="7"/>
      <c r="D12" s="7"/>
      <c r="E12" s="7"/>
      <c r="F12" s="23" t="s">
        <v>18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19</v>
      </c>
      <c r="B14" s="9"/>
      <c r="C14" s="9"/>
      <c r="D14" s="9"/>
      <c r="E14" s="9"/>
      <c r="F14" s="26" t="s">
        <v>20</v>
      </c>
      <c r="G14" s="26" t="s">
        <v>21</v>
      </c>
      <c r="H14" s="26" t="s">
        <v>22</v>
      </c>
      <c r="I14" s="11"/>
    </row>
    <row r="15" ht="15.0" customHeight="1">
      <c r="A15" s="27" t="s">
        <v>23</v>
      </c>
      <c r="E15" s="20"/>
      <c r="F15" s="28"/>
      <c r="G15" s="28"/>
      <c r="H15" s="28"/>
      <c r="I15" s="11"/>
    </row>
    <row r="16">
      <c r="A16" s="29" t="s">
        <v>24</v>
      </c>
      <c r="E16" s="20"/>
      <c r="F16" s="28">
        <v>107.0</v>
      </c>
      <c r="G16" s="28">
        <v>11.0</v>
      </c>
      <c r="H16" s="28">
        <f t="shared" ref="H16:H20" si="1">G16*F16</f>
        <v>1177</v>
      </c>
      <c r="I16" s="11"/>
    </row>
    <row r="17" ht="15.0" customHeight="1">
      <c r="A17" s="29" t="s">
        <v>25</v>
      </c>
      <c r="E17" s="20"/>
      <c r="F17" s="28">
        <v>107.0</v>
      </c>
      <c r="G17" s="28">
        <v>2.5</v>
      </c>
      <c r="H17" s="28">
        <f t="shared" si="1"/>
        <v>267.5</v>
      </c>
      <c r="I17" s="11"/>
    </row>
    <row r="18" ht="15.0" customHeight="1">
      <c r="A18" s="29" t="s">
        <v>26</v>
      </c>
      <c r="E18" s="20"/>
      <c r="F18" s="28">
        <v>49.0</v>
      </c>
      <c r="G18" s="28">
        <v>3.2</v>
      </c>
      <c r="H18" s="28">
        <f t="shared" si="1"/>
        <v>156.8</v>
      </c>
      <c r="I18" s="11"/>
    </row>
    <row r="19" ht="15.0" customHeight="1">
      <c r="A19" s="29" t="s">
        <v>27</v>
      </c>
      <c r="E19" s="20"/>
      <c r="F19" s="28">
        <v>20.0</v>
      </c>
      <c r="G19" s="28">
        <v>25.0</v>
      </c>
      <c r="H19" s="28">
        <f t="shared" si="1"/>
        <v>500</v>
      </c>
      <c r="I19" s="11"/>
    </row>
    <row r="20" ht="15.0" customHeight="1">
      <c r="A20" s="29" t="s">
        <v>28</v>
      </c>
      <c r="E20" s="20"/>
      <c r="F20" s="28">
        <v>1.0</v>
      </c>
      <c r="G20" s="28">
        <v>150.0</v>
      </c>
      <c r="H20" s="30">
        <f t="shared" si="1"/>
        <v>150</v>
      </c>
      <c r="I20" s="11"/>
    </row>
    <row r="21" ht="15.0" customHeight="1">
      <c r="A21" s="29" t="s">
        <v>29</v>
      </c>
      <c r="E21" s="20"/>
      <c r="F21" s="28">
        <v>1.0</v>
      </c>
      <c r="G21" s="28">
        <v>150.0</v>
      </c>
      <c r="H21" s="28">
        <v>150.0</v>
      </c>
      <c r="I21" s="11"/>
    </row>
    <row r="22" ht="15.0" customHeight="1">
      <c r="A22" s="27" t="s">
        <v>30</v>
      </c>
      <c r="E22" s="20"/>
      <c r="F22" s="28"/>
      <c r="G22" s="28"/>
      <c r="H22" s="30">
        <f t="shared" ref="H22:H26" si="2">G22*F22</f>
        <v>0</v>
      </c>
      <c r="I22" s="11"/>
    </row>
    <row r="23" ht="21.0" customHeight="1">
      <c r="A23" s="29" t="s">
        <v>31</v>
      </c>
      <c r="E23" s="20"/>
      <c r="F23" s="28">
        <v>64.0</v>
      </c>
      <c r="G23" s="28">
        <v>2.5</v>
      </c>
      <c r="H23" s="30">
        <f t="shared" si="2"/>
        <v>160</v>
      </c>
      <c r="I23" s="11"/>
    </row>
    <row r="24" ht="15.0" customHeight="1">
      <c r="A24" s="29" t="s">
        <v>32</v>
      </c>
      <c r="E24" s="20"/>
      <c r="F24" s="28">
        <v>132.0</v>
      </c>
      <c r="G24" s="28">
        <v>11.0</v>
      </c>
      <c r="H24" s="30">
        <f t="shared" si="2"/>
        <v>1452</v>
      </c>
      <c r="I24" s="11"/>
    </row>
    <row r="25" ht="15.0" customHeight="1">
      <c r="A25" s="29" t="s">
        <v>33</v>
      </c>
      <c r="E25" s="20"/>
      <c r="F25" s="28">
        <v>53.0</v>
      </c>
      <c r="G25" s="28">
        <v>3.2</v>
      </c>
      <c r="H25" s="30">
        <f t="shared" si="2"/>
        <v>169.6</v>
      </c>
      <c r="I25" s="11"/>
    </row>
    <row r="26" ht="15.0" customHeight="1">
      <c r="A26" s="29" t="s">
        <v>34</v>
      </c>
      <c r="E26" s="20"/>
      <c r="F26" s="28">
        <v>1.0</v>
      </c>
      <c r="G26" s="28">
        <v>100.0</v>
      </c>
      <c r="H26" s="28">
        <f t="shared" si="2"/>
        <v>100</v>
      </c>
      <c r="I26" s="11"/>
    </row>
    <row r="27" ht="15.0" customHeight="1">
      <c r="A27" s="29" t="s">
        <v>35</v>
      </c>
      <c r="E27" s="20"/>
      <c r="F27" s="28">
        <v>2.0</v>
      </c>
      <c r="G27" s="28">
        <v>150.0</v>
      </c>
      <c r="H27" s="28">
        <f>300</f>
        <v>300</v>
      </c>
      <c r="I27" s="11"/>
    </row>
    <row r="28" ht="15.0" customHeight="1">
      <c r="A28" s="29" t="s">
        <v>36</v>
      </c>
      <c r="E28" s="20"/>
      <c r="F28" s="28">
        <v>2.0</v>
      </c>
      <c r="G28" s="28">
        <v>160.0</v>
      </c>
      <c r="H28" s="28">
        <v>300.0</v>
      </c>
      <c r="I28" s="11"/>
    </row>
    <row r="29" ht="15.0" customHeight="1">
      <c r="A29" s="29" t="s">
        <v>37</v>
      </c>
      <c r="E29" s="20"/>
      <c r="F29" s="31"/>
      <c r="G29" s="31"/>
      <c r="H29" s="28"/>
      <c r="I29" s="11"/>
    </row>
    <row r="30" ht="15.0" customHeight="1">
      <c r="A30" s="29" t="s">
        <v>38</v>
      </c>
      <c r="E30" s="20"/>
      <c r="F30" s="31"/>
      <c r="G30" s="31"/>
      <c r="H30" s="30">
        <f>F30*G30</f>
        <v>0</v>
      </c>
      <c r="I30" s="11"/>
    </row>
    <row r="31" ht="15.0" customHeight="1">
      <c r="A31" s="29"/>
      <c r="D31" s="20"/>
      <c r="E31" s="28"/>
      <c r="F31" s="31"/>
      <c r="G31" s="31"/>
      <c r="H31" s="30">
        <f>G31*F31</f>
        <v>0</v>
      </c>
      <c r="I31" s="11"/>
    </row>
    <row r="32" ht="15.0" customHeight="1">
      <c r="A32" s="29"/>
      <c r="E32" s="20"/>
      <c r="F32" s="32" t="s">
        <v>39</v>
      </c>
      <c r="G32" s="10"/>
      <c r="H32" s="30">
        <f>H16+H17+H18+H19+H20+H21+H23+H24+H25+H26+H27+H28</f>
        <v>4882.9</v>
      </c>
      <c r="I32" s="11"/>
    </row>
    <row r="33" ht="15.0" customHeight="1">
      <c r="A33" s="33"/>
      <c r="B33" s="7"/>
      <c r="C33" s="7"/>
      <c r="D33" s="7"/>
      <c r="E33" s="24"/>
      <c r="F33" s="32"/>
      <c r="G33" s="10"/>
      <c r="H33" s="31"/>
      <c r="I33" s="11"/>
    </row>
    <row r="34">
      <c r="D34" s="20"/>
      <c r="E34" s="34" t="s">
        <v>40</v>
      </c>
      <c r="F34" s="35"/>
      <c r="G34" s="9"/>
      <c r="H34" s="36">
        <f>H32</f>
        <v>4882.9</v>
      </c>
      <c r="I34" s="11"/>
    </row>
    <row r="35">
      <c r="D35" s="20"/>
      <c r="E35" s="34"/>
      <c r="F35" s="35"/>
      <c r="G35" s="9"/>
      <c r="H35" s="37"/>
      <c r="I35" s="11"/>
    </row>
    <row r="36">
      <c r="A36" s="14"/>
      <c r="B36" s="14"/>
      <c r="C36" s="14"/>
      <c r="D36" s="16"/>
      <c r="E36" s="35" t="s">
        <v>41</v>
      </c>
      <c r="F36" s="9"/>
      <c r="G36" s="9"/>
      <c r="H36" s="38"/>
      <c r="I36" s="11"/>
    </row>
    <row r="37">
      <c r="E37" s="14"/>
      <c r="F37" s="14"/>
      <c r="G37" s="14"/>
      <c r="H37" s="14"/>
    </row>
    <row r="38">
      <c r="A38" s="3" t="s">
        <v>42</v>
      </c>
    </row>
    <row r="39">
      <c r="A39" s="3" t="s">
        <v>43</v>
      </c>
    </row>
    <row r="40">
      <c r="A40" s="3" t="s">
        <v>44</v>
      </c>
    </row>
    <row r="42">
      <c r="A42" s="39" t="s">
        <v>45</v>
      </c>
    </row>
    <row r="43">
      <c r="A43" s="40" t="s">
        <v>46</v>
      </c>
    </row>
    <row r="44">
      <c r="A44" s="41"/>
    </row>
  </sheetData>
  <mergeCells count="44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D31"/>
    <mergeCell ref="A32:E32"/>
    <mergeCell ref="F32:G32"/>
    <mergeCell ref="A43:H43"/>
    <mergeCell ref="A44:G44"/>
    <mergeCell ref="A33:E33"/>
    <mergeCell ref="F33:G33"/>
    <mergeCell ref="E36:F36"/>
    <mergeCell ref="A38:E38"/>
    <mergeCell ref="A39:E39"/>
    <mergeCell ref="A40:E40"/>
    <mergeCell ref="A42:H4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