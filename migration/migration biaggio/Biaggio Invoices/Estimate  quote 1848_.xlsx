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<sst xmlns="http://schemas.openxmlformats.org/spreadsheetml/2006/main" count="125" uniqueCount="96">
  <si>
    <t xml:space="preserve">  </t>
  </si>
  <si>
    <t>Estimate</t>
  </si>
  <si>
    <t>2314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</si>
  <si>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</si>
  <si>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</si>
  <si>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</si>
  <si>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</si>
  <si>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</si>
  <si>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</si>
  <si>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</si>
  <si>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Barana</t>
  </si>
  <si>
    <t>Customer Information</t>
  </si>
  <si>
    <t>Name:</t>
  </si>
  <si>
    <t>Floor Covering International</t>
  </si>
  <si>
    <t>Phone:</t>
  </si>
  <si>
    <t>Address:</t>
  </si>
  <si>
    <t>Cell:</t>
  </si>
  <si>
    <t>City, St. Zip:</t>
  </si>
  <si>
    <t>Kissimeee</t>
  </si>
  <si>
    <t>Email:</t>
  </si>
  <si>
    <t>Description</t>
  </si>
  <si>
    <t>Qty</t>
  </si>
  <si>
    <t>Price</t>
  </si>
  <si>
    <t>Amount</t>
  </si>
  <si>
    <t>First Floor tile / Balcony Tile</t>
  </si>
  <si>
    <t>basic installationporcelain  tile floor ( large Formate 24x48) main house</t>
  </si>
  <si>
    <t xml:space="preserve">Laundry / Pantry </t>
  </si>
  <si>
    <t>Backlsplash porcelain tile subway (3x12)</t>
  </si>
  <si>
    <t>working around window</t>
  </si>
  <si>
    <t>Floor ceramic tile cross &amp;bone 12x12</t>
  </si>
  <si>
    <t>Powder Bath 01</t>
  </si>
  <si>
    <t>basic installation ceramic tile floor ( large Formate 16x36) floor</t>
  </si>
  <si>
    <t>ceramic tile wall 2x8</t>
  </si>
  <si>
    <t>Master Bath 02</t>
  </si>
  <si>
    <t>basic installation ceramic tile floor (  Formate12x24) floor</t>
  </si>
  <si>
    <t>Wall  basic installation  large Formate 24x48)</t>
  </si>
  <si>
    <t>niche</t>
  </si>
  <si>
    <t>waterproof wall</t>
  </si>
  <si>
    <t xml:space="preserve">mortar bed </t>
  </si>
  <si>
    <t>waterproof shower pen</t>
  </si>
  <si>
    <t>install Shower floor 3x3</t>
  </si>
  <si>
    <t>Gym bath 9</t>
  </si>
  <si>
    <t>floor ceramic tile (24x24</t>
  </si>
  <si>
    <t xml:space="preserve">showe pen </t>
  </si>
  <si>
    <t>water proof shower pen</t>
  </si>
  <si>
    <t>wall  basic installation 12x24</t>
  </si>
  <si>
    <t>wall basic installation stagged stone</t>
  </si>
  <si>
    <t>water proof wall</t>
  </si>
  <si>
    <t>Bath03</t>
  </si>
  <si>
    <t>cement Board</t>
  </si>
  <si>
    <t>floor ceramic tile  (12x24)</t>
  </si>
  <si>
    <t>shower floor installation</t>
  </si>
  <si>
    <t>shower pen</t>
  </si>
  <si>
    <t>wall installation ceramic tile(24x48)</t>
  </si>
  <si>
    <t>waterproof</t>
  </si>
  <si>
    <t>bath 04 (missing)</t>
  </si>
  <si>
    <t>floor ceramic tile  12x48</t>
  </si>
  <si>
    <t>wall installation ceramic tile</t>
  </si>
  <si>
    <t>Upstais loft</t>
  </si>
  <si>
    <t>backlsplash ceramic mosaic 2.8x8</t>
  </si>
  <si>
    <t>Powder Bath 02</t>
  </si>
  <si>
    <t xml:space="preserve">ceramic floor (12X24) </t>
  </si>
  <si>
    <t>BATH 05</t>
  </si>
  <si>
    <t>floor   MARBLE NATURA ORGANICA</t>
  </si>
  <si>
    <t>shower floor installation MARBLE NATURA ORGANICA</t>
  </si>
  <si>
    <t>wall installation ceramic tile (24/x48) large formate</t>
  </si>
  <si>
    <t>shelf</t>
  </si>
  <si>
    <t>BATH 06</t>
  </si>
  <si>
    <t>floor ceramic tile   (12x24)</t>
  </si>
  <si>
    <t>shower floor installation (12x24)</t>
  </si>
  <si>
    <t xml:space="preserve">ledge </t>
  </si>
  <si>
    <t>wall installation ceramic tile mosaic 6X6</t>
  </si>
  <si>
    <t>shower wall tile</t>
  </si>
  <si>
    <t>BATH 07</t>
  </si>
  <si>
    <t>floor ceramic tile hexagonal  (12x12)</t>
  </si>
  <si>
    <t>shower floor installationHexagonal (12X12)</t>
  </si>
  <si>
    <t>wall installation ceramic tile 3X6</t>
  </si>
  <si>
    <t>Owner Master Suite</t>
  </si>
  <si>
    <t>Wet Bar Backsplash trapezoide shower</t>
  </si>
  <si>
    <t>vanity backsplash 24x48</t>
  </si>
  <si>
    <t>shower floor tile 12x12</t>
  </si>
  <si>
    <t>bathroom floor tile 32x71</t>
  </si>
  <si>
    <t>tub platform floor tile 32X71</t>
  </si>
  <si>
    <t>step* (TBD)</t>
  </si>
  <si>
    <t>laudry floor 32x71</t>
  </si>
  <si>
    <t>loft feature wall  48X24</t>
  </si>
  <si>
    <t>WALL MASTER IS  TADELAKT  PLASTER AND WE DONT DO IT .</t>
  </si>
  <si>
    <t xml:space="preserve">^ PRICE CONSIDERED TO BE CERAMIC. </t>
  </si>
  <si>
    <t xml:space="preserve">FLOR AND WALL PREP NOT INCLUDED. </t>
  </si>
  <si>
    <t>PRICES CAN BE EXPLAINED OR ADJUSTED IF NECESSARY</t>
  </si>
  <si>
    <t>Subtotal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</si>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</sst>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45594.0</v>
      </c>
    </row>
    <row r="3">
      <c r="A3" s="3" t="s">
        <v>4</v>
      </c>
      <c r="F3" s="6" t="s">
        <v>5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 t="s">
        <v>10</v>
      </c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12</v>
      </c>
      <c r="B10" s="14" t="s">
        <v>13</v>
      </c>
      <c r="C10" s="15"/>
      <c r="D10" s="15"/>
      <c r="E10" s="15"/>
      <c r="F10" s="16" t="s">
        <v>14</v>
      </c>
      <c r="G10" s="15"/>
      <c r="H10" s="17"/>
      <c r="I10" s="12"/>
    </row>
    <row r="11">
      <c r="A11" s="18" t="s">
        <v>15</v>
      </c>
      <c r="F11" s="19" t="s">
        <v>16</v>
      </c>
      <c r="G11" s="20"/>
      <c r="H11" s="21"/>
      <c r="I11" s="12"/>
    </row>
    <row r="12">
      <c r="A12" s="22" t="s">
        <v>17</v>
      </c>
      <c r="B12" s="23" t="s">
        <v>18</v>
      </c>
      <c r="C12" s="8"/>
      <c r="D12" s="8"/>
      <c r="E12" s="8"/>
      <c r="F12" s="24" t="s">
        <v>19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20</v>
      </c>
      <c r="B14" s="10"/>
      <c r="C14" s="10"/>
      <c r="D14" s="10"/>
      <c r="E14" s="10"/>
      <c r="F14" s="27" t="s">
        <v>21</v>
      </c>
      <c r="G14" s="27" t="s">
        <v>22</v>
      </c>
      <c r="H14" s="27" t="s">
        <v>23</v>
      </c>
      <c r="I14" s="12"/>
    </row>
    <row r="15" ht="15.0" customHeight="1">
      <c r="A15" s="28" t="s">
        <v>24</v>
      </c>
      <c r="B15" s="15"/>
      <c r="C15" s="15"/>
      <c r="D15" s="15"/>
      <c r="E15" s="17"/>
      <c r="F15" s="29"/>
      <c r="G15" s="29"/>
      <c r="H15" s="30"/>
      <c r="I15" s="12"/>
    </row>
    <row r="16" ht="15.0" customHeight="1">
      <c r="A16" s="31" t="s">
        <v>25</v>
      </c>
      <c r="E16" s="21"/>
      <c r="F16" s="32">
        <v>2800.0</v>
      </c>
      <c r="G16" s="32">
        <v>4.19</v>
      </c>
      <c r="H16" s="33">
        <f>G16*F16</f>
        <v>11732</v>
      </c>
      <c r="I16" s="12"/>
    </row>
    <row r="17" ht="15.0" customHeight="1">
      <c r="A17" s="31" t="s">
        <v>26</v>
      </c>
      <c r="E17" s="21"/>
      <c r="F17" s="32"/>
      <c r="G17" s="32"/>
      <c r="H17" s="33"/>
      <c r="I17" s="12"/>
    </row>
    <row r="18" ht="15.0" customHeight="1">
      <c r="A18" s="31" t="s">
        <v>27</v>
      </c>
      <c r="E18" s="21"/>
      <c r="F18" s="32">
        <v>57.0</v>
      </c>
      <c r="G18" s="32">
        <v>11.0</v>
      </c>
      <c r="H18" s="33">
        <f t="shared" ref="H18:H21" si="1">G18*F18</f>
        <v>627</v>
      </c>
      <c r="I18" s="12"/>
    </row>
    <row r="19" ht="15.0" customHeight="1">
      <c r="A19" s="31" t="s">
        <v>28</v>
      </c>
      <c r="E19" s="21"/>
      <c r="F19" s="32">
        <v>2.0</v>
      </c>
      <c r="G19" s="32">
        <v>75.0</v>
      </c>
      <c r="H19" s="32">
        <f t="shared" si="1"/>
        <v>150</v>
      </c>
      <c r="I19" s="12"/>
    </row>
    <row r="20" ht="15.0" customHeight="1">
      <c r="A20" s="31" t="s">
        <v>29</v>
      </c>
      <c r="E20" s="21"/>
      <c r="F20" s="32">
        <v>165.0</v>
      </c>
      <c r="G20" s="32">
        <v>3.5</v>
      </c>
      <c r="H20" s="32">
        <f t="shared" si="1"/>
        <v>577.5</v>
      </c>
      <c r="I20" s="12"/>
    </row>
    <row r="21" ht="15.0" customHeight="1">
      <c r="A21" s="31"/>
      <c r="E21" s="21"/>
      <c r="F21" s="32"/>
      <c r="G21" s="32"/>
      <c r="H21" s="33">
        <f t="shared" si="1"/>
        <v>0</v>
      </c>
      <c r="I21" s="12"/>
    </row>
    <row r="22" ht="15.0" customHeight="1">
      <c r="A22" s="31" t="s">
        <v>30</v>
      </c>
      <c r="E22" s="21"/>
      <c r="F22" s="32"/>
      <c r="G22" s="32"/>
      <c r="H22" s="33"/>
      <c r="I22" s="12"/>
    </row>
    <row r="23" ht="15.0" customHeight="1">
      <c r="A23" s="31" t="s">
        <v>31</v>
      </c>
      <c r="E23" s="21"/>
      <c r="F23" s="32">
        <v>25.0</v>
      </c>
      <c r="G23" s="32">
        <v>4.6</v>
      </c>
      <c r="H23" s="33">
        <f t="shared" ref="H23:H24" si="2">G23*F23</f>
        <v>115</v>
      </c>
      <c r="I23" s="12"/>
    </row>
    <row r="24" ht="15.0" customHeight="1">
      <c r="A24" s="31" t="s">
        <v>32</v>
      </c>
      <c r="E24" s="21"/>
      <c r="F24" s="32">
        <v>78.0</v>
      </c>
      <c r="G24" s="32">
        <v>10.0</v>
      </c>
      <c r="H24" s="33">
        <f t="shared" si="2"/>
        <v>780</v>
      </c>
      <c r="I24" s="12"/>
    </row>
    <row r="25" ht="15.0" customHeight="1">
      <c r="A25" s="31" t="s">
        <v>33</v>
      </c>
      <c r="E25" s="21"/>
      <c r="F25" s="32"/>
      <c r="G25" s="32"/>
      <c r="H25" s="33"/>
      <c r="I25" s="12"/>
    </row>
    <row r="26" ht="15.0" customHeight="1">
      <c r="A26" s="31" t="s">
        <v>34</v>
      </c>
      <c r="E26" s="21"/>
      <c r="F26" s="32">
        <v>125.0</v>
      </c>
      <c r="G26" s="32">
        <v>2.9</v>
      </c>
      <c r="H26" s="33">
        <f t="shared" ref="H26:H30" si="3">F26*G26</f>
        <v>362.5</v>
      </c>
      <c r="I26" s="12"/>
    </row>
    <row r="27" ht="15.0" customHeight="1">
      <c r="A27" s="31" t="s">
        <v>35</v>
      </c>
      <c r="E27" s="21"/>
      <c r="F27" s="32">
        <v>242.0</v>
      </c>
      <c r="G27" s="32">
        <v>12.0</v>
      </c>
      <c r="H27" s="33">
        <f t="shared" si="3"/>
        <v>2904</v>
      </c>
      <c r="I27" s="12"/>
    </row>
    <row r="28" ht="15.0" customHeight="1">
      <c r="A28" s="31" t="s">
        <v>28</v>
      </c>
      <c r="E28" s="21"/>
      <c r="F28" s="32">
        <v>2.0</v>
      </c>
      <c r="G28" s="32">
        <v>75.0</v>
      </c>
      <c r="H28" s="33">
        <f t="shared" si="3"/>
        <v>150</v>
      </c>
      <c r="I28" s="12"/>
    </row>
    <row r="29" ht="15.0" customHeight="1">
      <c r="A29" s="31" t="s">
        <v>36</v>
      </c>
      <c r="E29" s="21"/>
      <c r="F29" s="32">
        <v>1.0</v>
      </c>
      <c r="G29" s="32">
        <v>150.0</v>
      </c>
      <c r="H29" s="33">
        <f t="shared" si="3"/>
        <v>150</v>
      </c>
      <c r="I29" s="12"/>
    </row>
    <row r="30" ht="15.0" customHeight="1">
      <c r="A30" s="31" t="s">
        <v>37</v>
      </c>
      <c r="E30" s="21"/>
      <c r="F30" s="32">
        <v>242.0</v>
      </c>
      <c r="G30" s="32">
        <v>0.75</v>
      </c>
      <c r="H30" s="33">
        <f t="shared" si="3"/>
        <v>181.5</v>
      </c>
      <c r="I30" s="12"/>
    </row>
    <row r="31" ht="15.0" customHeight="1">
      <c r="A31" s="31" t="s">
        <v>38</v>
      </c>
      <c r="E31" s="21"/>
      <c r="F31" s="32">
        <v>1.0</v>
      </c>
      <c r="G31" s="32">
        <v>450.0</v>
      </c>
      <c r="H31" s="32">
        <v>450.0</v>
      </c>
      <c r="I31" s="12"/>
    </row>
    <row r="32" ht="15.0" customHeight="1">
      <c r="A32" s="31" t="s">
        <v>39</v>
      </c>
      <c r="E32" s="21"/>
      <c r="F32" s="32">
        <v>70.0</v>
      </c>
      <c r="G32" s="32">
        <v>0.75</v>
      </c>
      <c r="H32" s="33">
        <f t="shared" ref="H32:H33" si="4">F32*G32</f>
        <v>52.5</v>
      </c>
      <c r="I32" s="12"/>
    </row>
    <row r="33" ht="15.0" customHeight="1">
      <c r="A33" s="31" t="s">
        <v>40</v>
      </c>
      <c r="E33" s="21"/>
      <c r="F33" s="32">
        <v>70.0</v>
      </c>
      <c r="G33" s="32">
        <v>3.0</v>
      </c>
      <c r="H33" s="33">
        <f t="shared" si="4"/>
        <v>210</v>
      </c>
      <c r="I33" s="12"/>
    </row>
    <row r="34" ht="15.0" customHeight="1">
      <c r="A34" s="31" t="s">
        <v>41</v>
      </c>
      <c r="E34" s="21"/>
      <c r="F34" s="32"/>
      <c r="G34" s="32"/>
      <c r="H34" s="33"/>
      <c r="I34" s="12"/>
    </row>
    <row r="35" ht="14.25" customHeight="1">
      <c r="A35" s="31" t="s">
        <v>42</v>
      </c>
      <c r="E35" s="21"/>
      <c r="F35" s="32">
        <v>56.0</v>
      </c>
      <c r="G35" s="32">
        <v>3.0</v>
      </c>
      <c r="H35" s="33">
        <f>F35*G35</f>
        <v>168</v>
      </c>
      <c r="I35" s="12"/>
    </row>
    <row r="36" ht="14.25" customHeight="1">
      <c r="A36" s="31" t="s">
        <v>43</v>
      </c>
      <c r="E36" s="21"/>
      <c r="F36" s="32">
        <v>1.0</v>
      </c>
      <c r="G36" s="32">
        <v>350.0</v>
      </c>
      <c r="H36" s="32">
        <v>350.0</v>
      </c>
      <c r="I36" s="12"/>
    </row>
    <row r="37" ht="14.25" customHeight="1">
      <c r="A37" s="31" t="s">
        <v>44</v>
      </c>
      <c r="E37" s="21"/>
      <c r="F37" s="32">
        <v>18.0</v>
      </c>
      <c r="G37" s="32">
        <v>0.75</v>
      </c>
      <c r="H37" s="33">
        <f t="shared" ref="H37:H40" si="5">F37*G37</f>
        <v>13.5</v>
      </c>
      <c r="I37" s="12"/>
    </row>
    <row r="38" ht="14.25" customHeight="1">
      <c r="A38" s="31" t="s">
        <v>45</v>
      </c>
      <c r="E38" s="21"/>
      <c r="F38" s="32">
        <v>70.0</v>
      </c>
      <c r="G38" s="32">
        <v>10.5</v>
      </c>
      <c r="H38" s="33">
        <f t="shared" si="5"/>
        <v>735</v>
      </c>
      <c r="I38" s="12"/>
    </row>
    <row r="39" ht="14.25" customHeight="1">
      <c r="A39" s="31" t="s">
        <v>46</v>
      </c>
      <c r="E39" s="21"/>
      <c r="F39" s="32">
        <v>65.0</v>
      </c>
      <c r="G39" s="32">
        <v>8.0</v>
      </c>
      <c r="H39" s="33">
        <f t="shared" si="5"/>
        <v>520</v>
      </c>
      <c r="I39" s="12"/>
    </row>
    <row r="40" ht="14.25" customHeight="1">
      <c r="A40" s="31" t="s">
        <v>28</v>
      </c>
      <c r="E40" s="21"/>
      <c r="F40" s="32">
        <v>1.0</v>
      </c>
      <c r="G40" s="32">
        <v>75.0</v>
      </c>
      <c r="H40" s="33">
        <f t="shared" si="5"/>
        <v>75</v>
      </c>
      <c r="I40" s="12"/>
    </row>
    <row r="41" ht="14.25" customHeight="1">
      <c r="A41" s="31" t="s">
        <v>36</v>
      </c>
      <c r="E41" s="21"/>
      <c r="F41" s="32">
        <v>1.0</v>
      </c>
      <c r="G41" s="32">
        <v>150.0</v>
      </c>
      <c r="H41" s="32">
        <v>150.0</v>
      </c>
      <c r="I41" s="12"/>
    </row>
    <row r="42" ht="15.0" customHeight="1">
      <c r="A42" s="31" t="s">
        <v>47</v>
      </c>
      <c r="E42" s="21"/>
      <c r="F42" s="32">
        <v>135.0</v>
      </c>
      <c r="G42" s="32">
        <v>0.75</v>
      </c>
      <c r="H42" s="33">
        <f>F42*G42</f>
        <v>101.25</v>
      </c>
      <c r="I42" s="12"/>
    </row>
    <row r="43" ht="15.0" customHeight="1">
      <c r="A43" s="31" t="s">
        <v>48</v>
      </c>
      <c r="E43" s="21"/>
      <c r="F43" s="32"/>
      <c r="G43" s="32"/>
      <c r="H43" s="33"/>
      <c r="I43" s="12"/>
    </row>
    <row r="44" ht="15.0" customHeight="1">
      <c r="A44" s="31" t="s">
        <v>49</v>
      </c>
      <c r="E44" s="21"/>
      <c r="F44" s="32">
        <v>52.0</v>
      </c>
      <c r="G44" s="32">
        <v>2.0</v>
      </c>
      <c r="H44" s="33">
        <f t="shared" ref="H44:H51" si="6">F44*G44</f>
        <v>104</v>
      </c>
      <c r="I44" s="12"/>
    </row>
    <row r="45" ht="15.0" customHeight="1">
      <c r="A45" s="31" t="s">
        <v>50</v>
      </c>
      <c r="E45" s="21"/>
      <c r="F45" s="32">
        <v>52.0</v>
      </c>
      <c r="G45" s="32">
        <v>2.9</v>
      </c>
      <c r="H45" s="33">
        <f t="shared" si="6"/>
        <v>150.8</v>
      </c>
      <c r="I45" s="12"/>
    </row>
    <row r="46" ht="15.0" customHeight="1">
      <c r="A46" s="31" t="s">
        <v>51</v>
      </c>
      <c r="E46" s="21"/>
      <c r="F46" s="32">
        <v>18.0</v>
      </c>
      <c r="G46" s="32">
        <v>2.9</v>
      </c>
      <c r="H46" s="33">
        <f t="shared" si="6"/>
        <v>52.2</v>
      </c>
      <c r="I46" s="12"/>
    </row>
    <row r="47" ht="15.0" customHeight="1">
      <c r="A47" s="31" t="s">
        <v>52</v>
      </c>
      <c r="E47" s="21"/>
      <c r="F47" s="32">
        <v>1.0</v>
      </c>
      <c r="G47" s="32">
        <v>350.0</v>
      </c>
      <c r="H47" s="33">
        <f t="shared" si="6"/>
        <v>350</v>
      </c>
      <c r="I47" s="12"/>
    </row>
    <row r="48" ht="15.0" customHeight="1">
      <c r="A48" s="31" t="s">
        <v>28</v>
      </c>
      <c r="E48" s="21"/>
      <c r="F48" s="32">
        <v>1.0</v>
      </c>
      <c r="G48" s="32">
        <v>75.0</v>
      </c>
      <c r="H48" s="33">
        <f t="shared" si="6"/>
        <v>75</v>
      </c>
      <c r="I48" s="12"/>
    </row>
    <row r="49" ht="15.0" customHeight="1">
      <c r="A49" s="31" t="s">
        <v>36</v>
      </c>
      <c r="E49" s="21"/>
      <c r="F49" s="32">
        <v>1.0</v>
      </c>
      <c r="G49" s="32">
        <v>150.0</v>
      </c>
      <c r="H49" s="33">
        <f t="shared" si="6"/>
        <v>150</v>
      </c>
      <c r="I49" s="12"/>
    </row>
    <row r="50" ht="15.0" customHeight="1">
      <c r="A50" s="31" t="s">
        <v>53</v>
      </c>
      <c r="E50" s="21"/>
      <c r="F50" s="32">
        <v>188.0</v>
      </c>
      <c r="G50" s="32">
        <v>12.0</v>
      </c>
      <c r="H50" s="33">
        <f t="shared" si="6"/>
        <v>2256</v>
      </c>
      <c r="I50" s="12"/>
    </row>
    <row r="51" ht="15.0" customHeight="1">
      <c r="A51" s="31" t="s">
        <v>54</v>
      </c>
      <c r="E51" s="21"/>
      <c r="F51" s="32">
        <v>206.0</v>
      </c>
      <c r="G51" s="32">
        <v>0.75</v>
      </c>
      <c r="H51" s="33">
        <f t="shared" si="6"/>
        <v>154.5</v>
      </c>
      <c r="I51" s="12"/>
    </row>
    <row r="52" ht="15.0" customHeight="1">
      <c r="A52" s="31" t="s">
        <v>55</v>
      </c>
      <c r="E52" s="21"/>
      <c r="F52" s="32"/>
      <c r="G52" s="32"/>
      <c r="H52" s="33"/>
      <c r="I52" s="12"/>
    </row>
    <row r="53" ht="15.0" customHeight="1">
      <c r="A53" s="31" t="s">
        <v>49</v>
      </c>
      <c r="E53" s="21"/>
      <c r="F53" s="32">
        <v>42.0</v>
      </c>
      <c r="G53" s="32">
        <v>2.0</v>
      </c>
      <c r="H53" s="33">
        <f t="shared" ref="H53:H60" si="7">F53*G53</f>
        <v>84</v>
      </c>
      <c r="I53" s="12"/>
    </row>
    <row r="54" ht="15.0" customHeight="1">
      <c r="A54" s="31" t="s">
        <v>56</v>
      </c>
      <c r="E54" s="21"/>
      <c r="F54" s="32">
        <v>42.0</v>
      </c>
      <c r="G54" s="32">
        <v>3.5</v>
      </c>
      <c r="H54" s="33">
        <f t="shared" si="7"/>
        <v>147</v>
      </c>
      <c r="I54" s="12"/>
    </row>
    <row r="55" ht="15.0" customHeight="1">
      <c r="A55" s="31" t="s">
        <v>51</v>
      </c>
      <c r="E55" s="21"/>
      <c r="F55" s="32">
        <v>18.0</v>
      </c>
      <c r="G55" s="32">
        <v>3.5</v>
      </c>
      <c r="H55" s="33">
        <f t="shared" si="7"/>
        <v>63</v>
      </c>
      <c r="I55" s="12"/>
    </row>
    <row r="56" ht="15.0" customHeight="1">
      <c r="A56" s="31" t="s">
        <v>52</v>
      </c>
      <c r="E56" s="21"/>
      <c r="F56" s="32">
        <v>1.0</v>
      </c>
      <c r="G56" s="32">
        <v>350.0</v>
      </c>
      <c r="H56" s="33">
        <f t="shared" si="7"/>
        <v>350</v>
      </c>
      <c r="I56" s="12"/>
    </row>
    <row r="57" ht="15.0" customHeight="1">
      <c r="A57" s="31" t="s">
        <v>28</v>
      </c>
      <c r="E57" s="21"/>
      <c r="F57" s="32">
        <v>1.0</v>
      </c>
      <c r="G57" s="32">
        <v>75.0</v>
      </c>
      <c r="H57" s="33">
        <f t="shared" si="7"/>
        <v>75</v>
      </c>
      <c r="I57" s="12"/>
    </row>
    <row r="58" ht="15.0" customHeight="1">
      <c r="A58" s="31" t="s">
        <v>36</v>
      </c>
      <c r="E58" s="21"/>
      <c r="F58" s="32">
        <v>1.0</v>
      </c>
      <c r="G58" s="32">
        <v>150.0</v>
      </c>
      <c r="H58" s="33">
        <f t="shared" si="7"/>
        <v>150</v>
      </c>
      <c r="I58" s="12"/>
    </row>
    <row r="59" ht="15.0" customHeight="1">
      <c r="A59" s="31" t="s">
        <v>57</v>
      </c>
      <c r="E59" s="21"/>
      <c r="F59" s="32">
        <v>107.0</v>
      </c>
      <c r="G59" s="32">
        <v>10.0</v>
      </c>
      <c r="H59" s="33">
        <f t="shared" si="7"/>
        <v>1070</v>
      </c>
      <c r="I59" s="12"/>
    </row>
    <row r="60" ht="15.0" customHeight="1">
      <c r="A60" s="31" t="s">
        <v>54</v>
      </c>
      <c r="E60" s="21"/>
      <c r="F60" s="32">
        <v>107.0</v>
      </c>
      <c r="G60" s="32">
        <v>0.75</v>
      </c>
      <c r="H60" s="33">
        <f t="shared" si="7"/>
        <v>80.25</v>
      </c>
      <c r="I60" s="12"/>
    </row>
    <row r="61" ht="15.0" customHeight="1">
      <c r="A61" s="31" t="s">
        <v>58</v>
      </c>
      <c r="E61" s="21"/>
      <c r="F61" s="32"/>
      <c r="G61" s="32"/>
      <c r="H61" s="33"/>
      <c r="I61" s="12"/>
    </row>
    <row r="62" ht="15.0" customHeight="1">
      <c r="A62" s="31" t="s">
        <v>59</v>
      </c>
      <c r="E62" s="21"/>
      <c r="F62" s="32">
        <v>41.0</v>
      </c>
      <c r="G62" s="32">
        <v>13.0</v>
      </c>
      <c r="H62" s="33">
        <f t="shared" ref="H62:H63" si="8">F62*G62</f>
        <v>533</v>
      </c>
      <c r="I62" s="12"/>
    </row>
    <row r="63" ht="15.0" customHeight="1">
      <c r="A63" s="31"/>
      <c r="E63" s="21"/>
      <c r="F63" s="32"/>
      <c r="G63" s="32"/>
      <c r="H63" s="33">
        <f t="shared" si="8"/>
        <v>0</v>
      </c>
      <c r="I63" s="12"/>
    </row>
    <row r="64" ht="15.0" customHeight="1">
      <c r="A64" s="31" t="s">
        <v>60</v>
      </c>
      <c r="E64" s="21"/>
      <c r="F64" s="32"/>
      <c r="G64" s="32"/>
      <c r="H64" s="33"/>
      <c r="I64" s="12"/>
    </row>
    <row r="65" ht="15.0" customHeight="1">
      <c r="A65" s="31" t="s">
        <v>61</v>
      </c>
      <c r="E65" s="21"/>
      <c r="F65" s="32">
        <v>21.0</v>
      </c>
      <c r="G65" s="32">
        <v>2.9</v>
      </c>
      <c r="H65" s="33">
        <f t="shared" ref="H65:H66" si="9">F65*G65</f>
        <v>60.9</v>
      </c>
      <c r="I65" s="12"/>
    </row>
    <row r="66" ht="15.0" customHeight="1">
      <c r="A66" s="31" t="s">
        <v>49</v>
      </c>
      <c r="E66" s="21"/>
      <c r="F66" s="32">
        <v>21.0</v>
      </c>
      <c r="G66" s="32">
        <v>2.0</v>
      </c>
      <c r="H66" s="32">
        <f t="shared" si="9"/>
        <v>42</v>
      </c>
      <c r="I66" s="12"/>
    </row>
    <row r="67" ht="15.0" customHeight="1">
      <c r="A67" s="31" t="s">
        <v>62</v>
      </c>
      <c r="E67" s="21"/>
      <c r="F67" s="32"/>
      <c r="G67" s="32"/>
      <c r="H67" s="33"/>
      <c r="I67" s="12"/>
    </row>
    <row r="68" ht="15.0" customHeight="1">
      <c r="A68" s="31" t="s">
        <v>49</v>
      </c>
      <c r="E68" s="21"/>
      <c r="F68" s="32">
        <v>42.0</v>
      </c>
      <c r="G68" s="32">
        <v>2.0</v>
      </c>
      <c r="H68" s="33">
        <f t="shared" ref="H68:H70" si="10">F68*G68</f>
        <v>84</v>
      </c>
      <c r="I68" s="12"/>
    </row>
    <row r="69" ht="15.0" customHeight="1">
      <c r="A69" s="31" t="s">
        <v>63</v>
      </c>
      <c r="E69" s="21"/>
      <c r="F69" s="32">
        <v>42.0</v>
      </c>
      <c r="G69" s="32">
        <v>5.0</v>
      </c>
      <c r="H69" s="33">
        <f t="shared" si="10"/>
        <v>210</v>
      </c>
      <c r="I69" s="12"/>
    </row>
    <row r="70" ht="15.0" customHeight="1">
      <c r="A70" s="31" t="s">
        <v>64</v>
      </c>
      <c r="E70" s="21"/>
      <c r="F70" s="32">
        <v>18.0</v>
      </c>
      <c r="G70" s="32">
        <v>5.0</v>
      </c>
      <c r="H70" s="33">
        <f t="shared" si="10"/>
        <v>90</v>
      </c>
      <c r="I70" s="12"/>
    </row>
    <row r="71" ht="15.0" customHeight="1">
      <c r="A71" s="31" t="s">
        <v>52</v>
      </c>
      <c r="E71" s="21"/>
      <c r="F71" s="32">
        <v>1.0</v>
      </c>
      <c r="G71" s="32">
        <v>350.0</v>
      </c>
      <c r="H71" s="32">
        <v>350.0</v>
      </c>
      <c r="I71" s="12"/>
    </row>
    <row r="72" ht="15.0" customHeight="1">
      <c r="A72" s="31" t="s">
        <v>28</v>
      </c>
      <c r="E72" s="21"/>
      <c r="F72" s="32">
        <v>1.0</v>
      </c>
      <c r="G72" s="32">
        <v>75.0</v>
      </c>
      <c r="H72" s="32">
        <v>75.0</v>
      </c>
      <c r="I72" s="12"/>
    </row>
    <row r="73" ht="15.0" customHeight="1">
      <c r="A73" s="31" t="s">
        <v>36</v>
      </c>
      <c r="E73" s="21"/>
      <c r="F73" s="32">
        <v>1.0</v>
      </c>
      <c r="G73" s="32">
        <v>150.0</v>
      </c>
      <c r="H73" s="32">
        <v>150.0</v>
      </c>
      <c r="I73" s="12"/>
    </row>
    <row r="74" ht="15.0" customHeight="1">
      <c r="A74" s="31" t="s">
        <v>65</v>
      </c>
      <c r="E74" s="21"/>
      <c r="F74" s="32">
        <v>110.0</v>
      </c>
      <c r="G74" s="32">
        <v>12.0</v>
      </c>
      <c r="H74" s="33">
        <f t="shared" ref="H74:H75" si="11">F74*G74</f>
        <v>1320</v>
      </c>
      <c r="I74" s="12"/>
    </row>
    <row r="75" ht="15.0" customHeight="1">
      <c r="A75" s="31" t="s">
        <v>54</v>
      </c>
      <c r="E75" s="21"/>
      <c r="F75" s="32">
        <v>128.0</v>
      </c>
      <c r="G75" s="32">
        <v>0.75</v>
      </c>
      <c r="H75" s="33">
        <f t="shared" si="11"/>
        <v>96</v>
      </c>
      <c r="I75" s="12"/>
    </row>
    <row r="76" ht="15.0" customHeight="1">
      <c r="A76" s="31" t="s">
        <v>66</v>
      </c>
      <c r="E76" s="21"/>
      <c r="F76" s="32">
        <v>1.0</v>
      </c>
      <c r="G76" s="32">
        <v>50.0</v>
      </c>
      <c r="H76" s="32">
        <v>50.0</v>
      </c>
      <c r="I76" s="12"/>
    </row>
    <row r="77" ht="15.0" customHeight="1">
      <c r="A77" s="31" t="s">
        <v>67</v>
      </c>
      <c r="E77" s="21"/>
      <c r="F77" s="32"/>
      <c r="G77" s="32"/>
      <c r="H77" s="33"/>
      <c r="I77" s="12"/>
    </row>
    <row r="78" ht="15.0" customHeight="1">
      <c r="A78" s="31" t="s">
        <v>49</v>
      </c>
      <c r="E78" s="21"/>
      <c r="F78" s="32">
        <v>47.0</v>
      </c>
      <c r="G78" s="32">
        <v>2.0</v>
      </c>
      <c r="H78" s="33">
        <f t="shared" ref="H78:H81" si="12">F78*G78</f>
        <v>94</v>
      </c>
      <c r="I78" s="12"/>
    </row>
    <row r="79" ht="15.0" customHeight="1">
      <c r="A79" s="31" t="s">
        <v>68</v>
      </c>
      <c r="E79" s="21"/>
      <c r="F79" s="32">
        <v>47.0</v>
      </c>
      <c r="G79" s="32">
        <v>2.9</v>
      </c>
      <c r="H79" s="33">
        <f t="shared" si="12"/>
        <v>136.3</v>
      </c>
      <c r="I79" s="12"/>
    </row>
    <row r="80" ht="15.0" customHeight="1">
      <c r="A80" s="31" t="s">
        <v>69</v>
      </c>
      <c r="E80" s="21"/>
      <c r="F80" s="32">
        <v>18.0</v>
      </c>
      <c r="G80" s="32">
        <v>2.9</v>
      </c>
      <c r="H80" s="33">
        <f t="shared" si="12"/>
        <v>52.2</v>
      </c>
      <c r="I80" s="12"/>
    </row>
    <row r="81" ht="15.0" customHeight="1">
      <c r="A81" s="31" t="s">
        <v>52</v>
      </c>
      <c r="E81" s="21"/>
      <c r="F81" s="32">
        <v>1.0</v>
      </c>
      <c r="G81" s="32">
        <v>350.0</v>
      </c>
      <c r="H81" s="33">
        <f t="shared" si="12"/>
        <v>350</v>
      </c>
      <c r="I81" s="12"/>
    </row>
    <row r="82" ht="15.0" customHeight="1">
      <c r="A82" s="31" t="s">
        <v>70</v>
      </c>
      <c r="E82" s="21"/>
      <c r="F82" s="32">
        <v>1.0</v>
      </c>
      <c r="G82" s="32">
        <v>100.0</v>
      </c>
      <c r="H82" s="32">
        <v>100.0</v>
      </c>
      <c r="I82" s="12"/>
    </row>
    <row r="83" ht="15.0" customHeight="1">
      <c r="A83" s="31" t="s">
        <v>36</v>
      </c>
      <c r="E83" s="21"/>
      <c r="F83" s="32">
        <v>1.0</v>
      </c>
      <c r="G83" s="32">
        <v>150.0</v>
      </c>
      <c r="H83" s="32">
        <v>150.0</v>
      </c>
      <c r="I83" s="12"/>
    </row>
    <row r="84" ht="15.0" customHeight="1">
      <c r="A84" s="31" t="s">
        <v>71</v>
      </c>
      <c r="E84" s="21"/>
      <c r="F84" s="32">
        <v>45.0</v>
      </c>
      <c r="G84" s="32">
        <v>9.5</v>
      </c>
      <c r="H84" s="33">
        <f t="shared" ref="H84:H87" si="13">F84*G84</f>
        <v>427.5</v>
      </c>
      <c r="I84" s="12"/>
    </row>
    <row r="85" ht="15.0" customHeight="1">
      <c r="A85" s="31" t="s">
        <v>54</v>
      </c>
      <c r="E85" s="21"/>
      <c r="F85" s="32">
        <v>162.0</v>
      </c>
      <c r="G85" s="32">
        <v>0.75</v>
      </c>
      <c r="H85" s="33">
        <f t="shared" si="13"/>
        <v>121.5</v>
      </c>
      <c r="I85" s="12"/>
    </row>
    <row r="86" ht="15.0" customHeight="1">
      <c r="A86" s="31" t="s">
        <v>66</v>
      </c>
      <c r="E86" s="21"/>
      <c r="F86" s="32">
        <v>2.0</v>
      </c>
      <c r="G86" s="32">
        <v>50.0</v>
      </c>
      <c r="H86" s="33">
        <f t="shared" si="13"/>
        <v>100</v>
      </c>
      <c r="I86" s="12"/>
    </row>
    <row r="87" ht="15.0" customHeight="1">
      <c r="A87" s="31" t="s">
        <v>72</v>
      </c>
      <c r="E87" s="21"/>
      <c r="F87" s="32">
        <v>97.0</v>
      </c>
      <c r="G87" s="32">
        <v>9.5</v>
      </c>
      <c r="H87" s="33">
        <f t="shared" si="13"/>
        <v>921.5</v>
      </c>
      <c r="I87" s="12"/>
    </row>
    <row r="88" ht="15.0" customHeight="1">
      <c r="A88" s="31" t="s">
        <v>73</v>
      </c>
      <c r="E88" s="21"/>
      <c r="F88" s="32"/>
      <c r="G88" s="32"/>
      <c r="H88" s="33"/>
      <c r="I88" s="12"/>
    </row>
    <row r="89" ht="15.0" customHeight="1">
      <c r="A89" s="31" t="s">
        <v>49</v>
      </c>
      <c r="E89" s="21"/>
      <c r="F89" s="32">
        <v>42.0</v>
      </c>
      <c r="G89" s="32">
        <v>2.0</v>
      </c>
      <c r="H89" s="33">
        <f t="shared" ref="H89:H91" si="14">F89*G89</f>
        <v>84</v>
      </c>
      <c r="I89" s="12"/>
    </row>
    <row r="90" ht="15.0" customHeight="1">
      <c r="A90" s="31" t="s">
        <v>74</v>
      </c>
      <c r="E90" s="21"/>
      <c r="F90" s="32">
        <v>42.0</v>
      </c>
      <c r="G90" s="32">
        <v>3.2</v>
      </c>
      <c r="H90" s="33">
        <f t="shared" si="14"/>
        <v>134.4</v>
      </c>
      <c r="I90" s="12"/>
    </row>
    <row r="91" ht="15.0" customHeight="1">
      <c r="A91" s="31" t="s">
        <v>75</v>
      </c>
      <c r="E91" s="21"/>
      <c r="F91" s="32">
        <v>18.0</v>
      </c>
      <c r="G91" s="32">
        <v>3.2</v>
      </c>
      <c r="H91" s="33">
        <f t="shared" si="14"/>
        <v>57.6</v>
      </c>
      <c r="I91" s="12"/>
    </row>
    <row r="92" ht="15.0" customHeight="1">
      <c r="A92" s="31" t="s">
        <v>52</v>
      </c>
      <c r="E92" s="21"/>
      <c r="F92" s="32">
        <v>1.0</v>
      </c>
      <c r="G92" s="32">
        <v>350.0</v>
      </c>
      <c r="H92" s="32">
        <v>350.0</v>
      </c>
      <c r="I92" s="12"/>
    </row>
    <row r="93" ht="15.0" customHeight="1">
      <c r="A93" s="31" t="s">
        <v>36</v>
      </c>
      <c r="E93" s="21"/>
      <c r="F93" s="32">
        <v>1.0</v>
      </c>
      <c r="G93" s="32">
        <v>150.0</v>
      </c>
      <c r="H93" s="32">
        <v>150.0</v>
      </c>
      <c r="I93" s="12"/>
    </row>
    <row r="94" ht="15.0" customHeight="1">
      <c r="A94" s="31" t="s">
        <v>76</v>
      </c>
      <c r="E94" s="21"/>
      <c r="F94" s="32">
        <v>106.0</v>
      </c>
      <c r="G94" s="32">
        <v>10.0</v>
      </c>
      <c r="H94" s="33">
        <f t="shared" ref="H94:H95" si="15">F94*G94</f>
        <v>1060</v>
      </c>
      <c r="I94" s="12"/>
    </row>
    <row r="95" ht="15.0" customHeight="1">
      <c r="A95" s="31" t="s">
        <v>54</v>
      </c>
      <c r="E95" s="21"/>
      <c r="F95" s="32">
        <v>124.0</v>
      </c>
      <c r="G95" s="32">
        <v>0.75</v>
      </c>
      <c r="H95" s="33">
        <f t="shared" si="15"/>
        <v>93</v>
      </c>
      <c r="I95" s="12"/>
    </row>
    <row r="96" ht="15.0" customHeight="1">
      <c r="A96" s="31" t="s">
        <v>77</v>
      </c>
      <c r="E96" s="21"/>
      <c r="F96" s="32"/>
      <c r="G96" s="32"/>
      <c r="H96" s="33"/>
      <c r="I96" s="12"/>
    </row>
    <row r="97" ht="15.0" customHeight="1">
      <c r="A97" s="31" t="s">
        <v>78</v>
      </c>
      <c r="E97" s="21"/>
      <c r="F97" s="32">
        <v>7.0</v>
      </c>
      <c r="G97" s="32">
        <v>13.0</v>
      </c>
      <c r="H97" s="33">
        <f t="shared" ref="H97:H103" si="16">F97*G97</f>
        <v>91</v>
      </c>
      <c r="I97" s="12"/>
    </row>
    <row r="98" ht="15.0" customHeight="1">
      <c r="A98" s="31" t="s">
        <v>79</v>
      </c>
      <c r="E98" s="21"/>
      <c r="F98" s="32">
        <v>65.0</v>
      </c>
      <c r="G98" s="32">
        <v>12.0</v>
      </c>
      <c r="H98" s="33">
        <f t="shared" si="16"/>
        <v>780</v>
      </c>
      <c r="I98" s="12"/>
    </row>
    <row r="99" ht="15.0" customHeight="1">
      <c r="A99" s="31" t="s">
        <v>80</v>
      </c>
      <c r="E99" s="21"/>
      <c r="F99" s="32">
        <v>53.0</v>
      </c>
      <c r="G99" s="32">
        <v>2.9</v>
      </c>
      <c r="H99" s="33">
        <f t="shared" si="16"/>
        <v>153.7</v>
      </c>
      <c r="I99" s="12"/>
    </row>
    <row r="100" ht="15.0" customHeight="1">
      <c r="A100" s="31" t="s">
        <v>52</v>
      </c>
      <c r="E100" s="21"/>
      <c r="F100" s="32">
        <v>1.0</v>
      </c>
      <c r="G100" s="32">
        <v>600.0</v>
      </c>
      <c r="H100" s="33">
        <f t="shared" si="16"/>
        <v>600</v>
      </c>
      <c r="I100" s="12"/>
    </row>
    <row r="101" ht="15.0" customHeight="1">
      <c r="A101" s="31" t="s">
        <v>81</v>
      </c>
      <c r="E101" s="21"/>
      <c r="F101" s="32">
        <v>225.0</v>
      </c>
      <c r="G101" s="32">
        <v>4.9</v>
      </c>
      <c r="H101" s="33">
        <f t="shared" si="16"/>
        <v>1102.5</v>
      </c>
      <c r="I101" s="12"/>
    </row>
    <row r="102" ht="15.0" customHeight="1">
      <c r="A102" s="31" t="s">
        <v>49</v>
      </c>
      <c r="E102" s="21"/>
      <c r="F102" s="32">
        <v>225.0</v>
      </c>
      <c r="G102" s="32">
        <v>2.0</v>
      </c>
      <c r="H102" s="33">
        <f t="shared" si="16"/>
        <v>450</v>
      </c>
      <c r="I102" s="12"/>
    </row>
    <row r="103" ht="15.0" customHeight="1">
      <c r="A103" s="31" t="s">
        <v>82</v>
      </c>
      <c r="E103" s="21"/>
      <c r="F103" s="32">
        <v>26.0</v>
      </c>
      <c r="G103" s="32">
        <v>4.9</v>
      </c>
      <c r="H103" s="33">
        <f t="shared" si="16"/>
        <v>127.4</v>
      </c>
      <c r="I103" s="12"/>
    </row>
    <row r="104" ht="15.0" customHeight="1">
      <c r="A104" s="31" t="s">
        <v>83</v>
      </c>
      <c r="E104" s="21"/>
      <c r="F104" s="32">
        <v>1.0</v>
      </c>
      <c r="G104" s="32">
        <v>100.0</v>
      </c>
      <c r="H104" s="32">
        <v>100.0</v>
      </c>
      <c r="I104" s="12"/>
    </row>
    <row r="105" ht="15.0" customHeight="1">
      <c r="A105" s="31" t="s">
        <v>84</v>
      </c>
      <c r="E105" s="21"/>
      <c r="F105" s="32">
        <v>90.0</v>
      </c>
      <c r="G105" s="32">
        <v>4.9</v>
      </c>
      <c r="H105" s="33">
        <f t="shared" ref="H105:H107" si="17">F105*G105</f>
        <v>441</v>
      </c>
      <c r="I105" s="12"/>
    </row>
    <row r="106" ht="15.0" customHeight="1">
      <c r="A106" s="31" t="s">
        <v>49</v>
      </c>
      <c r="E106" s="21"/>
      <c r="F106" s="32">
        <v>90.0</v>
      </c>
      <c r="G106" s="32">
        <v>2.0</v>
      </c>
      <c r="H106" s="33">
        <f t="shared" si="17"/>
        <v>180</v>
      </c>
      <c r="I106" s="12"/>
    </row>
    <row r="107" ht="15.0" customHeight="1">
      <c r="A107" s="31" t="s">
        <v>85</v>
      </c>
      <c r="E107" s="21"/>
      <c r="F107" s="32">
        <v>70.0</v>
      </c>
      <c r="G107" s="32">
        <v>12.0</v>
      </c>
      <c r="H107" s="33">
        <f t="shared" si="17"/>
        <v>840</v>
      </c>
      <c r="I107" s="12"/>
    </row>
    <row r="108" ht="15.0" customHeight="1">
      <c r="A108" s="31" t="s">
        <v>86</v>
      </c>
      <c r="E108" s="21"/>
      <c r="F108" s="32"/>
      <c r="G108" s="32"/>
      <c r="H108" s="33"/>
      <c r="I108" s="12"/>
    </row>
    <row r="109" ht="15.0" customHeight="1">
      <c r="A109" s="31" t="s">
        <v>87</v>
      </c>
      <c r="E109" s="21"/>
      <c r="F109" s="32"/>
      <c r="G109" s="32"/>
      <c r="H109" s="33"/>
      <c r="I109" s="12"/>
    </row>
    <row r="110" ht="15.0" customHeight="1">
      <c r="A110" s="31" t="s">
        <v>88</v>
      </c>
      <c r="E110" s="21"/>
      <c r="F110" s="34"/>
      <c r="G110" s="34"/>
      <c r="H110" s="33">
        <f>G110*F110</f>
        <v>0</v>
      </c>
      <c r="I110" s="12"/>
    </row>
    <row r="111" ht="15.0" customHeight="1">
      <c r="A111" s="31" t="s">
        <v>89</v>
      </c>
      <c r="E111" s="21"/>
      <c r="F111" s="35" t="s">
        <v>90</v>
      </c>
      <c r="G111" s="11"/>
      <c r="H111" s="33">
        <f>SUM(H15:H107)</f>
        <v>38175</v>
      </c>
      <c r="I111" s="12"/>
    </row>
    <row r="112" ht="15.0" customHeight="1">
      <c r="A112" s="36"/>
      <c r="B112" s="8"/>
      <c r="C112" s="8"/>
      <c r="D112" s="8"/>
      <c r="E112" s="25"/>
      <c r="F112" s="35"/>
      <c r="G112" s="11"/>
      <c r="H112" s="37"/>
      <c r="I112" s="12"/>
    </row>
    <row r="113">
      <c r="A113" s="15"/>
      <c r="B113" s="15"/>
      <c r="C113" s="15"/>
      <c r="D113" s="17"/>
      <c r="E113" s="38"/>
      <c r="F113" s="10"/>
      <c r="G113" s="39"/>
      <c r="H113" s="40"/>
      <c r="I113" s="12"/>
    </row>
    <row r="114">
      <c r="E114" s="15"/>
      <c r="F114" s="15"/>
      <c r="G114" s="15"/>
      <c r="H114" s="15"/>
    </row>
    <row r="115">
      <c r="A115" s="3" t="s">
        <v>91</v>
      </c>
    </row>
    <row r="116">
      <c r="A116" s="3" t="s">
        <v>92</v>
      </c>
    </row>
    <row r="117">
      <c r="A117" s="3" t="s">
        <v>93</v>
      </c>
    </row>
    <row r="119">
      <c r="A119" s="41" t="s">
        <v>94</v>
      </c>
    </row>
    <row r="120">
      <c r="A120" s="42" t="s">
        <v>95</v>
      </c>
    </row>
    <row r="121">
      <c r="A121" s="43"/>
    </row>
  </sheetData>
  <mergeCells count="12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97:E97"/>
    <mergeCell ref="A98:E98"/>
    <mergeCell ref="A99:E99"/>
    <mergeCell ref="A100:E100"/>
    <mergeCell ref="A101:E101"/>
    <mergeCell ref="A102:E102"/>
    <mergeCell ref="A103:E103"/>
    <mergeCell ref="A104:E104"/>
    <mergeCell ref="A105:E105"/>
    <mergeCell ref="A106:E106"/>
    <mergeCell ref="A107:E107"/>
    <mergeCell ref="A108:E108"/>
    <mergeCell ref="A109:E109"/>
    <mergeCell ref="A110:E110"/>
    <mergeCell ref="A117:E117"/>
    <mergeCell ref="A119:H119"/>
    <mergeCell ref="A120:H120"/>
    <mergeCell ref="A121:G121"/>
    <mergeCell ref="A111:E111"/>
    <mergeCell ref="F111:G111"/>
    <mergeCell ref="A112:E112"/>
    <mergeCell ref="F112:G112"/>
    <mergeCell ref="E113:F113"/>
    <mergeCell ref="A115:E115"/>
    <mergeCell ref="A116:E116"/>
    <mergeCell ref="A48:E48"/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A76:E76"/>
    <mergeCell ref="A77:E77"/>
    <mergeCell ref="A78:E78"/>
    <mergeCell ref="A79:E79"/>
    <mergeCell ref="A80:E80"/>
    <mergeCell ref="A81:E81"/>
    <mergeCell ref="A82:E82"/>
    <mergeCell ref="A83:E83"/>
    <mergeCell ref="A84:E84"/>
    <mergeCell ref="A85:E85"/>
    <mergeCell ref="A86:E86"/>
    <mergeCell ref="A87:E87"/>
    <mergeCell ref="A88:E88"/>
    <mergeCell ref="A89:E89"/>
    <mergeCell ref="A90:E90"/>
    <mergeCell ref="A91:E91"/>
    <mergeCell ref="A92:E92"/>
    <mergeCell ref="A93:E93"/>
    <mergeCell ref="A94:E94"/>
    <mergeCell ref="A95:E95"/>
    <mergeCell ref="A96:E96"/>
  </mergeCells>
  <drawing r:id="rId1"/>
</worksheet>
</file>