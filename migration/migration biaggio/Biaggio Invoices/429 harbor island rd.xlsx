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<sst xmlns="http://schemas.openxmlformats.org/spreadsheetml/2006/main" count="70" uniqueCount="67">
  <si>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</si>
  <si>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</si>
  <si>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</si>
  <si>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</si>
  <si>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</si>
  <si>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</si>
  <si>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</si>
  <si>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</si>
  <si>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</si>
  <si>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</si>
  <si>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troy</t>
  </si>
  <si>
    <t>Customer Information</t>
  </si>
  <si>
    <t>Name:</t>
  </si>
  <si>
    <t>TROY</t>
  </si>
  <si>
    <t>Phone:</t>
  </si>
  <si>
    <t>Address:</t>
  </si>
  <si>
    <t>429 harbor island road.</t>
  </si>
  <si>
    <t>Cell:</t>
  </si>
  <si>
    <t>City, St. Zip:</t>
  </si>
  <si>
    <t>Orlando</t>
  </si>
  <si>
    <t>Email:</t>
  </si>
  <si>
    <t>Description</t>
  </si>
  <si>
    <t>Qty</t>
  </si>
  <si>
    <t>Price</t>
  </si>
  <si>
    <t>Amount</t>
  </si>
  <si>
    <t>Engineered Wood: Installation Only big size wood and  extra glue</t>
  </si>
  <si>
    <t>DEMO WOOD REPAIR</t>
  </si>
  <si>
    <t xml:space="preserve">showerfloor( mortar bed , installing)  mosaic marble carrara master </t>
  </si>
  <si>
    <t>walls 30x30  master shower( cement board not )included</t>
  </si>
  <si>
    <t>niche</t>
  </si>
  <si>
    <t xml:space="preserve">walking shower master </t>
  </si>
  <si>
    <t>window</t>
  </si>
  <si>
    <t xml:space="preserve"> Bath 02</t>
  </si>
  <si>
    <t>Bath Floor  ( hexagonal  ) Intallation Only</t>
  </si>
  <si>
    <t xml:space="preserve">walls  bathroons wall (1x4 mosaic) installation Only </t>
  </si>
  <si>
    <t>vanity wall( 1x4)</t>
  </si>
  <si>
    <t>BATh 03</t>
  </si>
  <si>
    <t>main floor(12x24)</t>
  </si>
  <si>
    <t>showerfloor 1" penny mosaic</t>
  </si>
  <si>
    <t>curb walking shower</t>
  </si>
  <si>
    <t>shower wall</t>
  </si>
  <si>
    <t>vanity wall ( ????)</t>
  </si>
  <si>
    <t>BATH 04</t>
  </si>
  <si>
    <t>main floor ( 10x11.5) hex</t>
  </si>
  <si>
    <t>shower floor (2.5x8)</t>
  </si>
  <si>
    <t>wall( 3x12) 2" mosaic</t>
  </si>
  <si>
    <t>curb /walking shower</t>
  </si>
  <si>
    <t>window working around</t>
  </si>
  <si>
    <t>pool bath</t>
  </si>
  <si>
    <t>main floor ( 24x24)</t>
  </si>
  <si>
    <t xml:space="preserve">show floor </t>
  </si>
  <si>
    <t>shower walls(2.5x10)</t>
  </si>
  <si>
    <t>curb/walking shower</t>
  </si>
  <si>
    <t>mud room(2.5x 10)</t>
  </si>
  <si>
    <t>paper protection on the house</t>
  </si>
  <si>
    <t>self level clip</t>
  </si>
  <si>
    <t>cement board</t>
  </si>
  <si>
    <t>total</t>
  </si>
  <si>
    <t>checks 7108</t>
  </si>
  <si>
    <t xml:space="preserve">paid </t>
  </si>
  <si>
    <t>CHECK7196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</si>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</sst>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"/>
  </numFmts>
  <fonts count="13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4.0"/>
    </font>
    <font>
      <b/>
      <sz val="17.0"/>
    </font>
    <font>
      <b/>
      <sz val="12.0"/>
    </font>
    <font>
      <b/>
      <sz val="16.0"/>
    </font>
    <font>
      <sz val="16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9" numFmtId="0" xfId="0" applyAlignment="1" applyBorder="1" applyFont="1">
      <alignment readingOrder="0" shrinkToFit="0" wrapText="1"/>
    </xf>
    <xf borderId="0" fillId="0" fontId="3" numFmtId="165" xfId="0" applyAlignment="1" applyFont="1" applyNumberForma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10" numFmtId="0" xfId="0" applyAlignment="1" applyBorder="1" applyFill="1" applyFont="1">
      <alignment readingOrder="0" shrinkToFit="0" wrapText="1"/>
    </xf>
    <xf borderId="2" fillId="3" fontId="10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11" numFmtId="0" xfId="0" applyAlignment="1" applyBorder="1" applyFont="1">
      <alignment readingOrder="0" shrinkToFit="0" wrapText="1"/>
    </xf>
    <xf borderId="4" fillId="0" fontId="12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45309.0</v>
      </c>
    </row>
    <row r="3">
      <c r="A3" s="3" t="s">
        <v>4</v>
      </c>
      <c r="F3" s="6" t="s">
        <v>5</v>
      </c>
      <c r="H3" s="3">
        <v>231204.0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7" t="s">
        <v>24</v>
      </c>
      <c r="I14" s="12"/>
    </row>
    <row r="15" ht="15.0" customHeight="1">
      <c r="A15" s="28" t="s">
        <v>25</v>
      </c>
      <c r="B15" s="15"/>
      <c r="C15" s="15"/>
      <c r="D15" s="15"/>
      <c r="E15" s="17"/>
      <c r="F15" s="29">
        <v>3573.0</v>
      </c>
      <c r="G15" s="29">
        <v>3.0</v>
      </c>
      <c r="H15" s="30">
        <f>G15*F15</f>
        <v>10719</v>
      </c>
      <c r="I15" s="12"/>
    </row>
    <row r="16" ht="15.0" customHeight="1">
      <c r="A16" s="31" t="s">
        <v>26</v>
      </c>
      <c r="E16" s="21"/>
      <c r="F16" s="32"/>
      <c r="G16" s="32"/>
      <c r="H16" s="32">
        <v>700.0</v>
      </c>
      <c r="I16" s="12"/>
    </row>
    <row r="17" ht="15.0" customHeight="1">
      <c r="A17" s="33"/>
      <c r="E17" s="21"/>
      <c r="F17" s="32"/>
      <c r="G17" s="32"/>
      <c r="H17" s="34">
        <f t="shared" ref="H17:H20" si="1">G17*F17</f>
        <v>0</v>
      </c>
      <c r="I17" s="12"/>
    </row>
    <row r="18" ht="15.0" customHeight="1">
      <c r="A18" s="33" t="s">
        <v>27</v>
      </c>
      <c r="E18" s="21"/>
      <c r="F18" s="32">
        <v>40.0</v>
      </c>
      <c r="G18" s="32">
        <v>38.0</v>
      </c>
      <c r="H18" s="32">
        <f t="shared" si="1"/>
        <v>1520</v>
      </c>
      <c r="I18" s="12"/>
    </row>
    <row r="19" ht="15.0" customHeight="1">
      <c r="A19" s="33" t="s">
        <v>28</v>
      </c>
      <c r="E19" s="21"/>
      <c r="F19" s="32">
        <v>0.0</v>
      </c>
      <c r="G19" s="32">
        <v>14.0</v>
      </c>
      <c r="H19" s="32">
        <f t="shared" si="1"/>
        <v>0</v>
      </c>
      <c r="I19" s="12"/>
    </row>
    <row r="20" ht="15.0" customHeight="1">
      <c r="A20" s="33" t="s">
        <v>29</v>
      </c>
      <c r="E20" s="21"/>
      <c r="F20" s="32">
        <v>1.0</v>
      </c>
      <c r="G20" s="32">
        <v>200.0</v>
      </c>
      <c r="H20" s="32">
        <f t="shared" si="1"/>
        <v>200</v>
      </c>
      <c r="I20" s="12"/>
    </row>
    <row r="21" ht="15.0" customHeight="1">
      <c r="A21" s="33" t="s">
        <v>30</v>
      </c>
      <c r="E21" s="21"/>
      <c r="F21" s="32">
        <v>1.0</v>
      </c>
      <c r="G21" s="32">
        <v>150.0</v>
      </c>
      <c r="H21" s="34">
        <f>F21*G21</f>
        <v>150</v>
      </c>
      <c r="I21" s="12"/>
    </row>
    <row r="22" ht="15.0" customHeight="1">
      <c r="A22" s="33" t="s">
        <v>31</v>
      </c>
      <c r="E22" s="21"/>
      <c r="F22" s="32">
        <v>0.0</v>
      </c>
      <c r="G22" s="32">
        <v>80.0</v>
      </c>
      <c r="H22" s="32">
        <f>G22*F22</f>
        <v>0</v>
      </c>
      <c r="I22" s="12"/>
    </row>
    <row r="23" ht="15.0" customHeight="1">
      <c r="A23" s="33" t="s">
        <v>32</v>
      </c>
      <c r="E23" s="21"/>
      <c r="F23" s="32"/>
      <c r="G23" s="32"/>
      <c r="H23" s="32"/>
      <c r="I23" s="12"/>
    </row>
    <row r="24" ht="15.0" customHeight="1">
      <c r="A24" s="33" t="s">
        <v>33</v>
      </c>
      <c r="E24" s="21"/>
      <c r="F24" s="32">
        <v>38.5</v>
      </c>
      <c r="G24" s="32">
        <v>3.8</v>
      </c>
      <c r="H24" s="32">
        <f t="shared" ref="H24:H25" si="2">G24*F24</f>
        <v>146.3</v>
      </c>
      <c r="I24" s="33"/>
    </row>
    <row r="25" ht="15.0" customHeight="1">
      <c r="A25" s="33" t="s">
        <v>34</v>
      </c>
      <c r="E25" s="21"/>
      <c r="F25" s="32">
        <v>85.0</v>
      </c>
      <c r="G25" s="32">
        <v>12.0</v>
      </c>
      <c r="H25" s="34">
        <f t="shared" si="2"/>
        <v>1020</v>
      </c>
      <c r="I25" s="12"/>
    </row>
    <row r="26" ht="15.0" customHeight="1">
      <c r="A26" s="33" t="s">
        <v>35</v>
      </c>
      <c r="E26" s="21"/>
      <c r="F26" s="32">
        <v>70.0</v>
      </c>
      <c r="G26" s="32">
        <v>13.0</v>
      </c>
      <c r="H26" s="34">
        <f>F26*G26</f>
        <v>910</v>
      </c>
      <c r="I26" s="12"/>
    </row>
    <row r="27" ht="15.0" customHeight="1">
      <c r="A27" s="33" t="s">
        <v>29</v>
      </c>
      <c r="E27" s="21"/>
      <c r="F27" s="32">
        <v>1.0</v>
      </c>
      <c r="G27" s="32">
        <v>150.0</v>
      </c>
      <c r="H27" s="34">
        <f>G27*F27</f>
        <v>150</v>
      </c>
      <c r="I27" s="12"/>
    </row>
    <row r="28" ht="15.0" customHeight="1">
      <c r="A28" s="33" t="s">
        <v>36</v>
      </c>
      <c r="E28" s="21"/>
      <c r="F28" s="32">
        <v>1.0</v>
      </c>
      <c r="G28" s="32">
        <v>1.0</v>
      </c>
      <c r="H28" s="32">
        <v>100.0</v>
      </c>
      <c r="I28" s="12"/>
    </row>
    <row r="29" ht="15.0" customHeight="1">
      <c r="A29" s="33" t="s">
        <v>37</v>
      </c>
      <c r="E29" s="21"/>
      <c r="F29" s="32">
        <v>33.0</v>
      </c>
      <c r="G29" s="32">
        <v>3.5</v>
      </c>
      <c r="H29" s="34">
        <f>G29*F29</f>
        <v>115.5</v>
      </c>
      <c r="I29" s="12"/>
    </row>
    <row r="30" ht="15.0" customHeight="1">
      <c r="A30" s="33" t="s">
        <v>38</v>
      </c>
      <c r="E30" s="21"/>
      <c r="F30" s="32">
        <v>16.5</v>
      </c>
      <c r="G30" s="32">
        <v>30.0</v>
      </c>
      <c r="H30" s="32">
        <v>400.0</v>
      </c>
      <c r="I30" s="12"/>
    </row>
    <row r="31" ht="15.0" customHeight="1">
      <c r="A31" s="33" t="s">
        <v>39</v>
      </c>
      <c r="E31" s="21"/>
      <c r="F31" s="32">
        <v>1.0</v>
      </c>
      <c r="G31" s="32">
        <v>100.0</v>
      </c>
      <c r="H31" s="34">
        <f>100</f>
        <v>100</v>
      </c>
      <c r="I31" s="12"/>
    </row>
    <row r="32" ht="15.0" customHeight="1">
      <c r="A32" s="33" t="s">
        <v>29</v>
      </c>
      <c r="E32" s="21"/>
      <c r="F32" s="32">
        <v>1.0</v>
      </c>
      <c r="G32" s="32">
        <v>150.0</v>
      </c>
      <c r="H32" s="34">
        <f>G32*F32</f>
        <v>150</v>
      </c>
      <c r="I32" s="12"/>
    </row>
    <row r="33" ht="15.0" customHeight="1">
      <c r="A33" s="33" t="s">
        <v>40</v>
      </c>
      <c r="E33" s="21"/>
      <c r="F33" s="32">
        <v>104.0</v>
      </c>
      <c r="G33" s="32">
        <v>12.0</v>
      </c>
      <c r="H33" s="34">
        <f>F33*G33</f>
        <v>1248</v>
      </c>
      <c r="I33" s="12"/>
    </row>
    <row r="34" ht="15.0" customHeight="1">
      <c r="A34" s="33" t="s">
        <v>41</v>
      </c>
      <c r="E34" s="21"/>
      <c r="F34" s="32"/>
      <c r="G34" s="32"/>
      <c r="H34" s="34"/>
      <c r="I34" s="12"/>
    </row>
    <row r="35" ht="15.0" customHeight="1">
      <c r="A35" s="33" t="s">
        <v>42</v>
      </c>
      <c r="E35" s="21"/>
      <c r="F35" s="32"/>
      <c r="G35" s="32"/>
      <c r="H35" s="34"/>
      <c r="I35" s="12"/>
    </row>
    <row r="36" ht="15.0" customHeight="1">
      <c r="A36" s="33" t="s">
        <v>43</v>
      </c>
      <c r="E36" s="21"/>
      <c r="F36" s="32">
        <v>54.0</v>
      </c>
      <c r="G36" s="32">
        <v>3.5</v>
      </c>
      <c r="H36" s="34">
        <f>G36*F36</f>
        <v>189</v>
      </c>
      <c r="I36" s="12"/>
    </row>
    <row r="37" ht="15.0" customHeight="1">
      <c r="A37" s="33" t="s">
        <v>29</v>
      </c>
      <c r="E37" s="21"/>
      <c r="F37" s="32">
        <v>1.0</v>
      </c>
      <c r="G37" s="32">
        <v>150.0</v>
      </c>
      <c r="H37" s="32">
        <v>150.0</v>
      </c>
      <c r="I37" s="12"/>
    </row>
    <row r="38" ht="15.0" customHeight="1">
      <c r="A38" s="33" t="s">
        <v>44</v>
      </c>
      <c r="E38" s="21"/>
      <c r="F38" s="32">
        <v>18.0</v>
      </c>
      <c r="G38" s="32">
        <v>30.0</v>
      </c>
      <c r="H38" s="34">
        <f t="shared" ref="H38:H39" si="3">F38*G38</f>
        <v>540</v>
      </c>
      <c r="I38" s="12"/>
    </row>
    <row r="39" ht="15.0" customHeight="1">
      <c r="A39" s="33" t="s">
        <v>45</v>
      </c>
      <c r="E39" s="21"/>
      <c r="F39" s="32">
        <v>108.0</v>
      </c>
      <c r="G39" s="32">
        <v>12.0</v>
      </c>
      <c r="H39" s="34">
        <f t="shared" si="3"/>
        <v>1296</v>
      </c>
      <c r="I39" s="12"/>
    </row>
    <row r="40" ht="15.0" customHeight="1">
      <c r="A40" s="33" t="s">
        <v>46</v>
      </c>
      <c r="E40" s="21"/>
      <c r="F40" s="32">
        <v>1.0</v>
      </c>
      <c r="G40" s="32">
        <v>100.0</v>
      </c>
      <c r="H40" s="32">
        <v>100.0</v>
      </c>
      <c r="I40" s="12"/>
    </row>
    <row r="41" ht="15.0" customHeight="1">
      <c r="A41" s="31" t="s">
        <v>47</v>
      </c>
      <c r="E41" s="21"/>
      <c r="F41" s="35">
        <v>1.0</v>
      </c>
      <c r="G41" s="35">
        <v>80.0</v>
      </c>
      <c r="H41" s="35">
        <v>80.0</v>
      </c>
      <c r="I41" s="12"/>
    </row>
    <row r="42" ht="15.0" customHeight="1">
      <c r="A42" s="31" t="s">
        <v>48</v>
      </c>
      <c r="E42" s="21"/>
      <c r="F42" s="35"/>
      <c r="G42" s="35"/>
      <c r="H42" s="21">
        <f t="shared" ref="H42:H45" si="4">G42*F42</f>
        <v>0</v>
      </c>
      <c r="I42" s="12"/>
    </row>
    <row r="43" ht="15.0" customHeight="1">
      <c r="A43" s="33" t="s">
        <v>49</v>
      </c>
      <c r="E43" s="21"/>
      <c r="F43" s="35">
        <v>33.0</v>
      </c>
      <c r="G43" s="35">
        <v>3.5</v>
      </c>
      <c r="H43" s="21">
        <f t="shared" si="4"/>
        <v>115.5</v>
      </c>
      <c r="I43" s="12"/>
    </row>
    <row r="44" ht="15.0" customHeight="1">
      <c r="A44" s="33" t="s">
        <v>50</v>
      </c>
      <c r="E44" s="21"/>
      <c r="F44" s="35">
        <v>16.5</v>
      </c>
      <c r="G44" s="35">
        <v>30.0</v>
      </c>
      <c r="H44" s="21">
        <f t="shared" si="4"/>
        <v>495</v>
      </c>
      <c r="I44" s="12"/>
    </row>
    <row r="45" ht="15.0" customHeight="1">
      <c r="A45" s="33" t="s">
        <v>51</v>
      </c>
      <c r="E45" s="21"/>
      <c r="F45" s="35">
        <v>108.0</v>
      </c>
      <c r="G45" s="35">
        <v>12.0</v>
      </c>
      <c r="H45" s="21">
        <f t="shared" si="4"/>
        <v>1296</v>
      </c>
      <c r="I45" s="12"/>
    </row>
    <row r="46" ht="15.0" customHeight="1">
      <c r="A46" s="33" t="s">
        <v>52</v>
      </c>
      <c r="E46" s="21"/>
      <c r="F46" s="35">
        <v>1.0</v>
      </c>
      <c r="G46" s="35">
        <v>100.0</v>
      </c>
      <c r="H46" s="35">
        <v>100.0</v>
      </c>
      <c r="I46" s="12"/>
    </row>
    <row r="47" ht="15.0" customHeight="1">
      <c r="A47" s="33" t="s">
        <v>53</v>
      </c>
      <c r="E47" s="21"/>
      <c r="F47" s="35">
        <v>69.0</v>
      </c>
      <c r="G47" s="35">
        <v>3.5</v>
      </c>
      <c r="H47" s="21">
        <f t="shared" ref="H47:H48" si="5">G47*F47</f>
        <v>241.5</v>
      </c>
      <c r="I47" s="12"/>
    </row>
    <row r="48" ht="15.0" customHeight="1">
      <c r="A48" s="33" t="s">
        <v>54</v>
      </c>
      <c r="E48" s="21"/>
      <c r="F48" s="35">
        <v>3800.0</v>
      </c>
      <c r="G48" s="35">
        <v>0.2</v>
      </c>
      <c r="H48" s="21">
        <f t="shared" si="5"/>
        <v>760</v>
      </c>
      <c r="I48" s="12"/>
    </row>
    <row r="49" ht="15.0" customHeight="1">
      <c r="A49" s="33" t="s">
        <v>55</v>
      </c>
      <c r="E49" s="21"/>
      <c r="F49" s="35">
        <v>2.0</v>
      </c>
      <c r="G49" s="35">
        <v>130.0</v>
      </c>
      <c r="H49" s="35">
        <v>260.0</v>
      </c>
      <c r="I49" s="12"/>
    </row>
    <row r="50" ht="15.0" customHeight="1">
      <c r="A50" s="36" t="s">
        <v>56</v>
      </c>
      <c r="E50" s="21"/>
      <c r="F50" s="35">
        <v>90.0</v>
      </c>
      <c r="G50" s="35">
        <v>2.5</v>
      </c>
      <c r="H50" s="21">
        <f>G50*F50</f>
        <v>225</v>
      </c>
      <c r="I50" s="12"/>
    </row>
    <row r="51" ht="15.0" customHeight="1">
      <c r="A51" s="37"/>
      <c r="B51" s="8"/>
      <c r="C51" s="8"/>
      <c r="D51" s="8"/>
      <c r="E51" s="25"/>
      <c r="F51" s="38" t="s">
        <v>57</v>
      </c>
      <c r="G51" s="11"/>
      <c r="H51" s="39">
        <f>SUM(H15:H50)</f>
        <v>23476.8</v>
      </c>
      <c r="I51" s="12"/>
    </row>
    <row r="52">
      <c r="A52" s="3" t="s">
        <v>58</v>
      </c>
      <c r="B52" s="40">
        <v>12500.0</v>
      </c>
      <c r="D52" s="21"/>
      <c r="E52" s="41" t="s">
        <v>59</v>
      </c>
      <c r="F52" s="42"/>
      <c r="G52" s="10"/>
      <c r="H52" s="43">
        <v>17500.0</v>
      </c>
      <c r="I52" s="12"/>
    </row>
    <row r="53">
      <c r="A53" s="3" t="s">
        <v>60</v>
      </c>
      <c r="B53" s="40">
        <v>5000.0</v>
      </c>
      <c r="D53" s="21"/>
      <c r="E53" s="44"/>
      <c r="F53" s="45"/>
      <c r="G53" s="46"/>
      <c r="H53" s="47"/>
      <c r="I53" s="12"/>
    </row>
    <row r="54">
      <c r="A54" s="15"/>
      <c r="B54" s="15"/>
      <c r="C54" s="15"/>
      <c r="D54" s="17"/>
      <c r="E54" s="42" t="s">
        <v>61</v>
      </c>
      <c r="F54" s="10"/>
      <c r="G54" s="10"/>
      <c r="H54" s="48">
        <f>H51-H52-H53</f>
        <v>5976.8</v>
      </c>
      <c r="I54" s="12"/>
    </row>
    <row r="55">
      <c r="E55" s="15"/>
      <c r="F55" s="15"/>
      <c r="G55" s="15"/>
      <c r="H55" s="15"/>
    </row>
    <row r="56">
      <c r="A56" s="3" t="s">
        <v>62</v>
      </c>
    </row>
    <row r="57">
      <c r="A57" s="3" t="s">
        <v>63</v>
      </c>
    </row>
    <row r="58">
      <c r="A58" s="3" t="s">
        <v>64</v>
      </c>
    </row>
    <row r="60">
      <c r="A60" s="49" t="s">
        <v>65</v>
      </c>
    </row>
    <row r="61">
      <c r="A61" s="50" t="s">
        <v>66</v>
      </c>
    </row>
    <row r="62">
      <c r="A62" s="51"/>
    </row>
  </sheetData>
  <mergeCells count="61">
    <mergeCell ref="A57:E57"/>
    <mergeCell ref="A58:E58"/>
    <mergeCell ref="A60:H60"/>
    <mergeCell ref="A61:H61"/>
    <mergeCell ref="A62:G62"/>
    <mergeCell ref="A48:E48"/>
    <mergeCell ref="A49:E49"/>
    <mergeCell ref="A50:E50"/>
    <mergeCell ref="A51:E51"/>
    <mergeCell ref="F51:G51"/>
    <mergeCell ref="E54:F54"/>
    <mergeCell ref="A56:E56"/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