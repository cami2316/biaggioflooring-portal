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<sst xmlns="http://schemas.openxmlformats.org/spreadsheetml/2006/main" count="48" uniqueCount="47">
  <si>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</si>
  <si>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</si>
  <si>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</si>
  <si>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</si>
  <si>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</si>
  <si>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</si>
  <si>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</si>
  <si>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</si>
  <si>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</si>
  <si>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</si>
  <si>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troy005</t>
  </si>
  <si>
    <t>Customer Information</t>
  </si>
  <si>
    <t>Name:</t>
  </si>
  <si>
    <t>TROY</t>
  </si>
  <si>
    <t>Phone:</t>
  </si>
  <si>
    <t>Address:</t>
  </si>
  <si>
    <t>822 woodwart st</t>
  </si>
  <si>
    <t>Cell:</t>
  </si>
  <si>
    <t>City, St. Zip:</t>
  </si>
  <si>
    <t>Winter PArk</t>
  </si>
  <si>
    <t>Email:</t>
  </si>
  <si>
    <t>Description</t>
  </si>
  <si>
    <t>Qty</t>
  </si>
  <si>
    <t>Price</t>
  </si>
  <si>
    <t>Amount</t>
  </si>
  <si>
    <t>Engineered Wood: Installation Only</t>
  </si>
  <si>
    <t>Master</t>
  </si>
  <si>
    <t xml:space="preserve">basic installation ceramic tile floor ( woodlook or up to 24x24) </t>
  </si>
  <si>
    <t>showerfloor( mortar bed , installing) master</t>
  </si>
  <si>
    <t>walls (up to 24X24 ) master shower</t>
  </si>
  <si>
    <t xml:space="preserve">add work around  windows </t>
  </si>
  <si>
    <t xml:space="preserve">niche( framing and installing )( only installing niche $75) </t>
  </si>
  <si>
    <t>Guest Bath</t>
  </si>
  <si>
    <t>Guest Bath Floor  (12x24 ) Intallation Only</t>
  </si>
  <si>
    <t xml:space="preserve">walls guest bathroons wall (12X24) installation Only </t>
  </si>
  <si>
    <t>showerfloor( mortar bed , installing) guest bath</t>
  </si>
  <si>
    <t>niche( framing and installing )( only installing niche $75)</t>
  </si>
  <si>
    <t>self level bag applications 30 per bag</t>
  </si>
  <si>
    <t>grinder  @60/hour</t>
  </si>
  <si>
    <t>Subtotal</t>
  </si>
  <si>
    <t>please pay at 05/27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</si>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</sst>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43969.0</v>
      </c>
    </row>
    <row r="3">
      <c r="A3" s="3" t="s">
        <v>4</v>
      </c>
      <c r="F3" s="6" t="s">
        <v>5</v>
      </c>
      <c r="H3" s="3">
        <v>2013.0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 t="s">
        <v>19</v>
      </c>
      <c r="C12" s="8"/>
      <c r="D12" s="8"/>
      <c r="E12" s="8"/>
      <c r="F12" s="24" t="s">
        <v>20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21</v>
      </c>
      <c r="B14" s="10"/>
      <c r="C14" s="10"/>
      <c r="D14" s="10"/>
      <c r="E14" s="10"/>
      <c r="F14" s="27" t="s">
        <v>22</v>
      </c>
      <c r="G14" s="27" t="s">
        <v>23</v>
      </c>
      <c r="H14" s="27" t="s">
        <v>24</v>
      </c>
      <c r="I14" s="12"/>
    </row>
    <row r="15" ht="15.0" customHeight="1">
      <c r="A15" s="28" t="s">
        <v>25</v>
      </c>
      <c r="B15" s="15"/>
      <c r="C15" s="15"/>
      <c r="D15" s="15"/>
      <c r="E15" s="17"/>
      <c r="F15" s="29">
        <v>1352.0</v>
      </c>
      <c r="G15" s="29">
        <v>1.5</v>
      </c>
      <c r="H15" s="30">
        <f>G15*F15</f>
        <v>2028</v>
      </c>
      <c r="I15" s="12"/>
    </row>
    <row r="16" ht="15.0" customHeight="1">
      <c r="A16" s="31" t="s">
        <v>26</v>
      </c>
      <c r="E16" s="21"/>
      <c r="F16" s="32"/>
      <c r="G16" s="32"/>
      <c r="H16" s="33"/>
      <c r="I16" s="12"/>
    </row>
    <row r="17" ht="15.0" customHeight="1">
      <c r="A17" s="31" t="s">
        <v>27</v>
      </c>
      <c r="E17" s="21"/>
      <c r="F17" s="32">
        <v>60.0</v>
      </c>
      <c r="G17" s="32">
        <v>2.8</v>
      </c>
      <c r="H17" s="33">
        <f t="shared" ref="H17:H21" si="1">G17*F17</f>
        <v>168</v>
      </c>
      <c r="I17" s="12"/>
    </row>
    <row r="18" ht="15.0" customHeight="1">
      <c r="A18" s="31" t="s">
        <v>28</v>
      </c>
      <c r="E18" s="21"/>
      <c r="F18" s="32">
        <v>34.0</v>
      </c>
      <c r="G18" s="32">
        <v>18.0</v>
      </c>
      <c r="H18" s="32">
        <f t="shared" si="1"/>
        <v>612</v>
      </c>
      <c r="I18" s="12"/>
    </row>
    <row r="19" ht="15.0" customHeight="1">
      <c r="A19" s="31" t="s">
        <v>29</v>
      </c>
      <c r="E19" s="21"/>
      <c r="F19" s="32">
        <v>112.0</v>
      </c>
      <c r="G19" s="32">
        <v>9.0</v>
      </c>
      <c r="H19" s="32">
        <f t="shared" si="1"/>
        <v>1008</v>
      </c>
      <c r="I19" s="12"/>
    </row>
    <row r="20" ht="15.0" customHeight="1">
      <c r="A20" s="31" t="s">
        <v>30</v>
      </c>
      <c r="E20" s="21"/>
      <c r="F20" s="32">
        <v>1.0</v>
      </c>
      <c r="G20" s="32">
        <v>75.0</v>
      </c>
      <c r="H20" s="33">
        <f t="shared" si="1"/>
        <v>75</v>
      </c>
      <c r="I20" s="12"/>
    </row>
    <row r="21" ht="15.0" customHeight="1">
      <c r="A21" s="31" t="s">
        <v>31</v>
      </c>
      <c r="E21" s="21"/>
      <c r="F21" s="32">
        <v>2.0</v>
      </c>
      <c r="G21" s="32">
        <v>75.0</v>
      </c>
      <c r="H21" s="32">
        <f t="shared" si="1"/>
        <v>150</v>
      </c>
      <c r="I21" s="12"/>
    </row>
    <row r="22" ht="15.0" customHeight="1">
      <c r="A22" s="31" t="s">
        <v>32</v>
      </c>
      <c r="E22" s="21"/>
      <c r="F22" s="32"/>
      <c r="G22" s="32"/>
      <c r="H22" s="32"/>
      <c r="I22" s="12"/>
    </row>
    <row r="23" ht="15.0" customHeight="1">
      <c r="A23" s="31" t="s">
        <v>33</v>
      </c>
      <c r="E23" s="21"/>
      <c r="F23" s="32">
        <v>34.0</v>
      </c>
      <c r="G23" s="32">
        <v>2.8</v>
      </c>
      <c r="H23" s="32">
        <f t="shared" ref="H23:H26" si="2">G23*F23</f>
        <v>95.2</v>
      </c>
      <c r="I23" s="12"/>
    </row>
    <row r="24" ht="15.0" customHeight="1">
      <c r="A24" s="31" t="s">
        <v>34</v>
      </c>
      <c r="E24" s="21"/>
      <c r="F24" s="32">
        <v>83.0</v>
      </c>
      <c r="G24" s="32">
        <v>9.0</v>
      </c>
      <c r="H24" s="33">
        <f t="shared" si="2"/>
        <v>747</v>
      </c>
      <c r="I24" s="12"/>
    </row>
    <row r="25" ht="15.0" customHeight="1">
      <c r="A25" s="31" t="s">
        <v>35</v>
      </c>
      <c r="E25" s="21"/>
      <c r="F25" s="32">
        <v>15.0</v>
      </c>
      <c r="G25" s="32">
        <v>18.0</v>
      </c>
      <c r="H25" s="33">
        <f t="shared" si="2"/>
        <v>270</v>
      </c>
      <c r="I25" s="12"/>
    </row>
    <row r="26" ht="15.0" customHeight="1">
      <c r="A26" s="31" t="s">
        <v>36</v>
      </c>
      <c r="E26" s="21"/>
      <c r="F26" s="32">
        <v>1.0</v>
      </c>
      <c r="G26" s="32">
        <v>75.0</v>
      </c>
      <c r="H26" s="33">
        <f t="shared" si="2"/>
        <v>75</v>
      </c>
      <c r="I26" s="12"/>
    </row>
    <row r="27" ht="15.0" customHeight="1">
      <c r="A27" s="31" t="s">
        <v>30</v>
      </c>
      <c r="E27" s="21"/>
      <c r="F27" s="32">
        <v>1.0</v>
      </c>
      <c r="G27" s="32">
        <v>75.0</v>
      </c>
      <c r="H27" s="33">
        <f t="shared" ref="H27:H28" si="3">F27*G27</f>
        <v>75</v>
      </c>
      <c r="I27" s="12"/>
    </row>
    <row r="28" ht="15.0" customHeight="1">
      <c r="A28" s="31" t="s">
        <v>37</v>
      </c>
      <c r="E28" s="21"/>
      <c r="F28" s="32"/>
      <c r="G28" s="32">
        <v>30.0</v>
      </c>
      <c r="H28" s="33">
        <f t="shared" si="3"/>
        <v>0</v>
      </c>
      <c r="I28" s="12"/>
    </row>
    <row r="29" ht="15.0" customHeight="1">
      <c r="A29" s="31" t="s">
        <v>38</v>
      </c>
      <c r="E29" s="21"/>
      <c r="F29" s="34"/>
      <c r="G29" s="34">
        <v>60.0</v>
      </c>
      <c r="H29" s="33">
        <f>G29*F29</f>
        <v>0</v>
      </c>
      <c r="I29" s="12"/>
    </row>
    <row r="30" ht="15.0" customHeight="1">
      <c r="A30" s="12"/>
      <c r="E30" s="21"/>
      <c r="F30" s="35" t="s">
        <v>39</v>
      </c>
      <c r="G30" s="11"/>
      <c r="H30" s="33">
        <f>SUM(H15:H29)</f>
        <v>5303.2</v>
      </c>
      <c r="I30" s="12"/>
    </row>
    <row r="31" ht="15.0" customHeight="1">
      <c r="A31" s="36"/>
      <c r="B31" s="8"/>
      <c r="C31" s="8"/>
      <c r="D31" s="8"/>
      <c r="E31" s="25"/>
      <c r="F31" s="37"/>
      <c r="G31" s="11"/>
      <c r="H31" s="34"/>
      <c r="I31" s="12"/>
    </row>
    <row r="32">
      <c r="D32" s="21"/>
      <c r="E32" s="38"/>
      <c r="F32" s="39"/>
      <c r="G32" s="10"/>
      <c r="H32" s="40"/>
      <c r="I32" s="12"/>
    </row>
    <row r="33">
      <c r="D33" s="21"/>
      <c r="E33" s="41" t="s">
        <v>40</v>
      </c>
      <c r="F33" s="42"/>
      <c r="G33" s="43"/>
      <c r="H33" s="44">
        <f>H30/2</f>
        <v>2651.6</v>
      </c>
      <c r="I33" s="12"/>
    </row>
    <row r="34">
      <c r="A34" s="15"/>
      <c r="B34" s="15"/>
      <c r="C34" s="15"/>
      <c r="D34" s="17"/>
      <c r="E34" s="39" t="s">
        <v>41</v>
      </c>
      <c r="F34" s="10"/>
      <c r="G34" s="10"/>
      <c r="H34" s="45">
        <f>H33</f>
        <v>2651.6</v>
      </c>
      <c r="I34" s="12"/>
    </row>
    <row r="35">
      <c r="E35" s="15"/>
      <c r="F35" s="15"/>
      <c r="G35" s="15"/>
      <c r="H35" s="15"/>
    </row>
    <row r="36">
      <c r="A36" s="3" t="s">
        <v>42</v>
      </c>
    </row>
    <row r="37">
      <c r="A37" s="3" t="s">
        <v>43</v>
      </c>
    </row>
    <row r="38">
      <c r="A38" s="3" t="s">
        <v>44</v>
      </c>
    </row>
    <row r="40">
      <c r="A40" s="46" t="s">
        <v>45</v>
      </c>
    </row>
    <row r="41">
      <c r="A41" s="47" t="s">
        <v>46</v>
      </c>
    </row>
    <row r="42">
      <c r="A42" s="48"/>
    </row>
  </sheetData>
  <mergeCells count="42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E34:F34"/>
    <mergeCell ref="A36:E36"/>
    <mergeCell ref="A37:E37"/>
    <mergeCell ref="A38:E38"/>
    <mergeCell ref="A40:H40"/>
    <mergeCell ref="A41:H41"/>
    <mergeCell ref="A42:G42"/>
    <mergeCell ref="A27:E27"/>
    <mergeCell ref="A28:E28"/>
    <mergeCell ref="A29:E29"/>
    <mergeCell ref="A30:E30"/>
    <mergeCell ref="F30:G30"/>
    <mergeCell ref="A31:E31"/>
    <mergeCell ref="F31:G3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