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BOB8" sheetId="1" r:id="rId5"/>
  </sheets>
  <definedNames/>
  <calcPr/>
</workbook>
</file>

<file path=xl/sharedStrings.xml><?xml version="1.0" encoding="utf-8"?>
<sst xmlns="http://schemas.openxmlformats.org/spreadsheetml/2006/main" count="41" uniqueCount="40">
  <si>
    <t>Biaggio Flooring LLC</t>
  </si>
  <si>
    <t>2373 Lake Debra Dr #2314 · Orlando FL 32835 · Phone: 321-682-1090</t>
  </si>
  <si>
    <t>INVOICE</t>
  </si>
  <si>
    <t>DATE:</t>
  </si>
  <si>
    <t>Invoice #:</t>
  </si>
  <si>
    <t>Project ID:</t>
  </si>
  <si>
    <t>WOKB19</t>
  </si>
  <si>
    <t>Representative:</t>
  </si>
  <si>
    <t>Milene Graciosa</t>
  </si>
  <si>
    <t>CUSTOMER INFORMATION</t>
  </si>
  <si>
    <t>Name: West Orange Kitchen and Bathroom</t>
  </si>
  <si>
    <t>Phone:</t>
  </si>
  <si>
    <t>Address: 6761 Valhalla Way</t>
  </si>
  <si>
    <t>Cell:</t>
  </si>
  <si>
    <t>City, St. Zip: Winter Garden, FL</t>
  </si>
  <si>
    <t>Email:</t>
  </si>
  <si>
    <t>DESCRIPTION</t>
  </si>
  <si>
    <t>PRICE / sq.ft.</t>
  </si>
  <si>
    <t>QTY / sq.ft.</t>
  </si>
  <si>
    <t>AMOUNT</t>
  </si>
  <si>
    <t xml:space="preserve">  TUB BATHROOM — 6761 Valhalla Way</t>
  </si>
  <si>
    <t>Main Floor (80 sq.ft.)</t>
  </si>
  <si>
    <t>Accent Wall (120 sq.ft.)</t>
  </si>
  <si>
    <t>Tub Wall (80 sq.ft.)</t>
  </si>
  <si>
    <t>1 Niche prep and wrap</t>
  </si>
  <si>
    <t>1 Window (2'x2')</t>
  </si>
  <si>
    <t xml:space="preserve">  FULL SHOWER BATHROOM — 6761 Valhalla Way</t>
  </si>
  <si>
    <t>Main Floor (50 sq.ft.)</t>
  </si>
  <si>
    <t>Accent Wall (4 tiles @ 2'x4' each = 32 sq.ft.)</t>
  </si>
  <si>
    <t>Shower Walls (150 sq.ft.)</t>
  </si>
  <si>
    <t>Shower Floor (25 sq.ft. — mosaic/special tile)</t>
  </si>
  <si>
    <t>1 Niche ( prep and wrap)</t>
  </si>
  <si>
    <t>Accent Strip 2' wide — top to bottom (labor)</t>
  </si>
  <si>
    <t>SUBTOTAL</t>
  </si>
  <si>
    <t>50% DEPOSIT DUE TO SCHEDULE</t>
  </si>
  <si>
    <t>BALANCE DUE UPON COMPLETION</t>
  </si>
  <si>
    <t>Terms: 50% due to order/schedule. Balance due upon completion.</t>
  </si>
  <si>
    <t>Make all checks payable to Biaggio Flooring LLC</t>
  </si>
  <si>
    <t>If you have any questions, please call us at 321-682-1090</t>
  </si>
  <si>
    <t>THANK YOU!  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</si>
</sst>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$#,##0.00"/>
  </numFmts>
  <fonts count="16">
    <font>
      <sz val="11.0"/>
      <color theme="1"/>
      <name val="Calibri"/>
      <scheme val="minor"/>
    </font>
    <font>
      <b/>
      <sz val="16.0"/>
      <color rgb="FF1F3864"/>
      <name val="Arial"/>
    </font>
    <font>
      <sz val="9.0"/>
      <color rgb="FF444444"/>
      <name val="Arial"/>
    </font>
    <font>
      <b/>
      <sz val="20.0"/>
      <color rgb="FFC6A84B"/>
      <name val="Arial"/>
    </font>
    <font>
      <b/>
      <sz val="10.0"/>
      <color theme="1"/>
      <name val="Arial"/>
    </font>
    <font>
      <sz val="11.0"/>
      <color theme="1"/>
      <name val="Calibri"/>
    </font>
    <font>
      <sz val="10.0"/>
      <color theme="1"/>
      <name val="Arial"/>
    </font>
    <font>
      <b/>
      <sz val="11.0"/>
      <color rgb="FFFFFFFF"/>
      <name val="Arial"/>
    </font>
    <font/>
    <font>
      <b/>
      <sz val="10.0"/>
      <color rgb="FFFFFFFF"/>
      <name val="Arial"/>
    </font>
    <font>
      <sz val="10.0"/>
      <color rgb="FF000000"/>
      <name val="Arial"/>
    </font>
    <font>
      <b/>
      <sz val="11.0"/>
      <color rgb="FF1F3864"/>
      <name val="Arial"/>
    </font>
    <font>
      <b/>
      <sz val="11.0"/>
      <color rgb="FF375623"/>
      <name val="Arial"/>
    </font>
    <font>
      <b/>
      <sz val="12.0"/>
      <color rgb="FFFFFFFF"/>
      <name val="Arial"/>
    </font>
    <font>
      <i/>
      <sz val="9.0"/>
      <color rgb="FF555555"/>
      <name val="Arial"/>
    </font>
    <font>
      <b/>
      <sz val="11.0"/>
      <color rgb="FFC6A84B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</fills>
  <borders count="5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164" xfId="0" applyFont="1" applyNumberFormat="1"/>
    <xf borderId="0" fillId="0" fontId="6" numFmtId="0" xfId="0" applyAlignment="1" applyFont="1">
      <alignment readingOrder="0"/>
    </xf>
    <xf borderId="0" fillId="0" fontId="6" numFmtId="0" xfId="0" applyFont="1"/>
    <xf borderId="1" fillId="2" fontId="7" numFmtId="0" xfId="0" applyAlignment="1" applyBorder="1" applyFill="1" applyFont="1">
      <alignment horizontal="center" shrinkToFit="0" vertical="center" wrapText="1"/>
    </xf>
    <xf borderId="2" fillId="0" fontId="8" numFmtId="0" xfId="0" applyBorder="1" applyFont="1"/>
    <xf borderId="3" fillId="0" fontId="8" numFmtId="0" xfId="0" applyBorder="1" applyFont="1"/>
    <xf borderId="0" fillId="0" fontId="4" numFmtId="0" xfId="0" applyAlignment="1" applyFont="1">
      <alignment readingOrder="0"/>
    </xf>
    <xf borderId="4" fillId="2" fontId="7" numFmtId="0" xfId="0" applyAlignment="1" applyBorder="1" applyFont="1">
      <alignment horizontal="left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1" fillId="3" fontId="9" numFmtId="0" xfId="0" applyAlignment="1" applyBorder="1" applyFill="1" applyFont="1">
      <alignment horizontal="left" vertical="center"/>
    </xf>
    <xf borderId="4" fillId="4" fontId="10" numFmtId="0" xfId="0" applyAlignment="1" applyBorder="1" applyFill="1" applyFont="1">
      <alignment horizontal="left" shrinkToFit="0" vertical="center" wrapText="1"/>
    </xf>
    <xf borderId="4" fillId="4" fontId="10" numFmtId="165" xfId="0" applyAlignment="1" applyBorder="1" applyFont="1" applyNumberFormat="1">
      <alignment horizontal="center" readingOrder="0" shrinkToFit="0" vertical="center" wrapText="1"/>
    </xf>
    <xf borderId="4" fillId="4" fontId="10" numFmtId="0" xfId="0" applyAlignment="1" applyBorder="1" applyFont="1">
      <alignment horizontal="center" shrinkToFit="0" vertical="center" wrapText="1"/>
    </xf>
    <xf borderId="4" fillId="4" fontId="6" numFmtId="165" xfId="0" applyAlignment="1" applyBorder="1" applyFont="1" applyNumberFormat="1">
      <alignment horizontal="right" vertical="center"/>
    </xf>
    <xf borderId="4" fillId="5" fontId="10" numFmtId="0" xfId="0" applyAlignment="1" applyBorder="1" applyFill="1" applyFont="1">
      <alignment horizontal="left" shrinkToFit="0" vertical="center" wrapText="1"/>
    </xf>
    <xf borderId="4" fillId="5" fontId="10" numFmtId="165" xfId="0" applyAlignment="1" applyBorder="1" applyFont="1" applyNumberFormat="1">
      <alignment horizontal="center" readingOrder="0" shrinkToFit="0" vertical="center" wrapText="1"/>
    </xf>
    <xf borderId="4" fillId="5" fontId="10" numFmtId="0" xfId="0" applyAlignment="1" applyBorder="1" applyFont="1">
      <alignment horizontal="center" shrinkToFit="0" vertical="center" wrapText="1"/>
    </xf>
    <xf borderId="4" fillId="5" fontId="6" numFmtId="165" xfId="0" applyAlignment="1" applyBorder="1" applyFont="1" applyNumberFormat="1">
      <alignment horizontal="right" vertical="center"/>
    </xf>
    <xf borderId="4" fillId="5" fontId="10" numFmtId="0" xfId="0" applyAlignment="1" applyBorder="1" applyFont="1">
      <alignment horizontal="left" readingOrder="0" shrinkToFit="0" vertical="center" wrapText="1"/>
    </xf>
    <xf borderId="4" fillId="5" fontId="10" numFmtId="165" xfId="0" applyAlignment="1" applyBorder="1" applyFont="1" applyNumberFormat="1">
      <alignment horizontal="center" shrinkToFit="0" vertical="center" wrapText="1"/>
    </xf>
    <xf borderId="4" fillId="5" fontId="10" numFmtId="0" xfId="0" applyAlignment="1" applyBorder="1" applyFont="1">
      <alignment horizontal="center" readingOrder="0" shrinkToFit="0" vertical="center" wrapText="1"/>
    </xf>
    <xf borderId="4" fillId="4" fontId="10" numFmtId="0" xfId="0" applyAlignment="1" applyBorder="1" applyFont="1">
      <alignment horizontal="left" readingOrder="0" shrinkToFit="0" vertical="center" wrapText="1"/>
    </xf>
    <xf borderId="4" fillId="4" fontId="10" numFmtId="165" xfId="0" applyAlignment="1" applyBorder="1" applyFont="1" applyNumberFormat="1">
      <alignment horizontal="center" shrinkToFit="0" vertical="center" wrapText="1"/>
    </xf>
    <xf borderId="4" fillId="4" fontId="10" numFmtId="0" xfId="0" applyAlignment="1" applyBorder="1" applyFont="1">
      <alignment horizontal="center" readingOrder="0" shrinkToFit="0" vertical="center" wrapText="1"/>
    </xf>
    <xf borderId="1" fillId="6" fontId="11" numFmtId="0" xfId="0" applyAlignment="1" applyBorder="1" applyFill="1" applyFont="1">
      <alignment horizontal="right" vertical="center"/>
    </xf>
    <xf borderId="4" fillId="6" fontId="11" numFmtId="165" xfId="0" applyAlignment="1" applyBorder="1" applyFont="1" applyNumberFormat="1">
      <alignment horizontal="right" vertical="center"/>
    </xf>
    <xf borderId="1" fillId="7" fontId="12" numFmtId="0" xfId="0" applyAlignment="1" applyBorder="1" applyFill="1" applyFont="1">
      <alignment horizontal="right" vertical="center"/>
    </xf>
    <xf borderId="4" fillId="7" fontId="12" numFmtId="165" xfId="0" applyAlignment="1" applyBorder="1" applyFont="1" applyNumberFormat="1">
      <alignment horizontal="right" vertical="center"/>
    </xf>
    <xf borderId="1" fillId="2" fontId="7" numFmtId="0" xfId="0" applyAlignment="1" applyBorder="1" applyFont="1">
      <alignment horizontal="right" vertical="center"/>
    </xf>
    <xf borderId="4" fillId="2" fontId="13" numFmtId="165" xfId="0" applyAlignment="1" applyBorder="1" applyFont="1" applyNumberFormat="1">
      <alignment horizontal="right" vertical="center"/>
    </xf>
    <xf borderId="0" fillId="0" fontId="14" numFmtId="0" xfId="0" applyAlignment="1" applyFont="1">
      <alignment horizontal="center"/>
    </xf>
    <xf borderId="0" fillId="0" fontId="1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2.0"/>
    <col customWidth="1" min="2" max="2" width="14.0"/>
    <col customWidth="1" min="3" max="3" width="10.0"/>
    <col customWidth="1" min="4" max="4" width="14.0"/>
    <col customWidth="1" min="5" max="26" width="8.71"/>
  </cols>
  <sheetData>
    <row r="1" ht="27.75" customHeight="1">
      <c r="A1" s="1" t="s">
        <v>0</v>
      </c>
    </row>
    <row r="2" ht="15.75" customHeight="1">
      <c r="A2" s="2" t="s">
        <v>1</v>
      </c>
    </row>
    <row r="3" ht="30.0" customHeight="1">
      <c r="A3" s="3" t="s">
        <v>2</v>
      </c>
    </row>
    <row r="4" ht="15.75" customHeight="1">
      <c r="A4" s="4" t="s">
        <v>3</v>
      </c>
      <c r="B4" s="5"/>
      <c r="C4" s="4" t="s">
        <v>4</v>
      </c>
      <c r="D4" s="6">
        <v>2618.0</v>
      </c>
    </row>
    <row r="5" ht="15.75" customHeight="1">
      <c r="A5" s="4" t="s">
        <v>5</v>
      </c>
      <c r="B5" s="6" t="s">
        <v>6</v>
      </c>
      <c r="C5" s="4" t="s">
        <v>7</v>
      </c>
      <c r="D5" s="7" t="s">
        <v>8</v>
      </c>
    </row>
    <row r="6" ht="19.5" customHeight="1">
      <c r="A6" s="8" t="s">
        <v>9</v>
      </c>
      <c r="B6" s="9"/>
      <c r="C6" s="9"/>
      <c r="D6" s="10"/>
    </row>
    <row r="7" ht="15.75" customHeight="1">
      <c r="A7" s="11" t="s">
        <v>10</v>
      </c>
      <c r="C7" s="7" t="s">
        <v>11</v>
      </c>
    </row>
    <row r="8" ht="15.75" customHeight="1">
      <c r="A8" s="7" t="s">
        <v>12</v>
      </c>
      <c r="C8" s="7" t="s">
        <v>13</v>
      </c>
    </row>
    <row r="9" ht="15.75" customHeight="1">
      <c r="A9" s="7" t="s">
        <v>14</v>
      </c>
      <c r="C9" s="7" t="s">
        <v>15</v>
      </c>
    </row>
    <row r="10">
      <c r="A10" s="12" t="s">
        <v>16</v>
      </c>
      <c r="B10" s="13" t="s">
        <v>17</v>
      </c>
      <c r="C10" s="13" t="s">
        <v>18</v>
      </c>
      <c r="D10" s="13" t="s">
        <v>19</v>
      </c>
    </row>
    <row r="11" ht="18.0" customHeight="1">
      <c r="A11" s="14" t="s">
        <v>20</v>
      </c>
      <c r="B11" s="9"/>
      <c r="C11" s="9"/>
      <c r="D11" s="10"/>
    </row>
    <row r="12" ht="18.0" customHeight="1">
      <c r="A12" s="15" t="s">
        <v>21</v>
      </c>
      <c r="B12" s="16">
        <v>4.3</v>
      </c>
      <c r="C12" s="17">
        <v>80.0</v>
      </c>
      <c r="D12" s="18">
        <f t="shared" ref="D12:D16" si="1">B12*C12</f>
        <v>344</v>
      </c>
    </row>
    <row r="13" ht="18.0" customHeight="1">
      <c r="A13" s="19" t="s">
        <v>22</v>
      </c>
      <c r="B13" s="20">
        <v>12.0</v>
      </c>
      <c r="C13" s="21">
        <v>120.0</v>
      </c>
      <c r="D13" s="22">
        <f t="shared" si="1"/>
        <v>1440</v>
      </c>
    </row>
    <row r="14" ht="18.0" customHeight="1">
      <c r="A14" s="19" t="s">
        <v>23</v>
      </c>
      <c r="B14" s="20">
        <v>12.0</v>
      </c>
      <c r="C14" s="21">
        <v>80.0</v>
      </c>
      <c r="D14" s="22">
        <f t="shared" si="1"/>
        <v>960</v>
      </c>
    </row>
    <row r="15" ht="18.0" customHeight="1">
      <c r="A15" s="23" t="s">
        <v>24</v>
      </c>
      <c r="B15" s="24">
        <v>250.0</v>
      </c>
      <c r="C15" s="25">
        <v>2.0</v>
      </c>
      <c r="D15" s="22">
        <f t="shared" si="1"/>
        <v>500</v>
      </c>
    </row>
    <row r="16" ht="18.0" customHeight="1">
      <c r="A16" s="15" t="s">
        <v>25</v>
      </c>
      <c r="B16" s="16">
        <v>80.0</v>
      </c>
      <c r="C16" s="17">
        <v>1.0</v>
      </c>
      <c r="D16" s="18">
        <f t="shared" si="1"/>
        <v>80</v>
      </c>
    </row>
    <row r="17" ht="18.0" customHeight="1">
      <c r="A17" s="14" t="s">
        <v>26</v>
      </c>
      <c r="B17" s="9"/>
      <c r="C17" s="9"/>
      <c r="D17" s="10"/>
    </row>
    <row r="18" ht="18.0" customHeight="1">
      <c r="A18" s="15" t="s">
        <v>27</v>
      </c>
      <c r="B18" s="16">
        <v>4.3</v>
      </c>
      <c r="C18" s="17">
        <v>50.0</v>
      </c>
      <c r="D18" s="18">
        <f t="shared" ref="D18:D24" si="2">B18*C18</f>
        <v>215</v>
      </c>
    </row>
    <row r="19" ht="18.0" customHeight="1">
      <c r="A19" s="19" t="s">
        <v>28</v>
      </c>
      <c r="B19" s="20">
        <v>14.0</v>
      </c>
      <c r="C19" s="21">
        <v>32.0</v>
      </c>
      <c r="D19" s="22">
        <f t="shared" si="2"/>
        <v>448</v>
      </c>
    </row>
    <row r="20" ht="18.0" customHeight="1">
      <c r="A20" s="19" t="s">
        <v>29</v>
      </c>
      <c r="B20" s="20">
        <v>12.0</v>
      </c>
      <c r="C20" s="21">
        <v>150.0</v>
      </c>
      <c r="D20" s="22">
        <f t="shared" si="2"/>
        <v>1800</v>
      </c>
    </row>
    <row r="21" ht="18.0" customHeight="1">
      <c r="A21" s="19" t="s">
        <v>30</v>
      </c>
      <c r="B21" s="20">
        <v>35.0</v>
      </c>
      <c r="C21" s="21">
        <v>25.0</v>
      </c>
      <c r="D21" s="22">
        <f t="shared" si="2"/>
        <v>875</v>
      </c>
    </row>
    <row r="22" ht="18.0" customHeight="1">
      <c r="A22" s="26" t="s">
        <v>31</v>
      </c>
      <c r="B22" s="27">
        <v>250.0</v>
      </c>
      <c r="C22" s="28">
        <v>2.0</v>
      </c>
      <c r="D22" s="18">
        <f t="shared" si="2"/>
        <v>500</v>
      </c>
    </row>
    <row r="23" ht="18.0" customHeight="1">
      <c r="A23" s="19" t="s">
        <v>25</v>
      </c>
      <c r="B23" s="24">
        <v>100.0</v>
      </c>
      <c r="C23" s="21">
        <v>1.0</v>
      </c>
      <c r="D23" s="22">
        <f t="shared" si="2"/>
        <v>100</v>
      </c>
    </row>
    <row r="24" ht="18.0" customHeight="1">
      <c r="A24" s="15" t="s">
        <v>32</v>
      </c>
      <c r="B24" s="16">
        <v>250.0</v>
      </c>
      <c r="C24" s="17">
        <v>1.0</v>
      </c>
      <c r="D24" s="18">
        <f t="shared" si="2"/>
        <v>250</v>
      </c>
    </row>
    <row r="26" ht="21.75" customHeight="1">
      <c r="A26" s="29" t="s">
        <v>33</v>
      </c>
      <c r="B26" s="9"/>
      <c r="C26" s="10"/>
      <c r="D26" s="30">
        <f>SUM(D12:D24)</f>
        <v>7512</v>
      </c>
    </row>
    <row r="27" ht="21.75" customHeight="1">
      <c r="A27" s="31" t="s">
        <v>34</v>
      </c>
      <c r="B27" s="9"/>
      <c r="C27" s="10"/>
      <c r="D27" s="32">
        <f>D26*0.5</f>
        <v>3756</v>
      </c>
    </row>
    <row r="28" ht="25.5" customHeight="1">
      <c r="A28" s="33" t="s">
        <v>35</v>
      </c>
      <c r="B28" s="9"/>
      <c r="C28" s="10"/>
      <c r="D28" s="34">
        <f>D26-D27</f>
        <v>3756</v>
      </c>
    </row>
    <row r="29" ht="15.75" customHeight="1"/>
    <row r="30" ht="13.5" customHeight="1">
      <c r="A30" s="35" t="s">
        <v>36</v>
      </c>
    </row>
    <row r="31" ht="13.5" customHeight="1">
      <c r="A31" s="35" t="s">
        <v>37</v>
      </c>
    </row>
    <row r="32" ht="13.5" customHeight="1">
      <c r="A32" s="35" t="s">
        <v>38</v>
      </c>
    </row>
    <row r="33" ht="19.5" customHeight="1">
      <c r="A33" s="36" t="s">
        <v>39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4">
    <mergeCell ref="A26:C26"/>
    <mergeCell ref="A27:C27"/>
    <mergeCell ref="A28:C28"/>
    <mergeCell ref="A30:D30"/>
    <mergeCell ref="A31:D31"/>
    <mergeCell ref="A32:D32"/>
    <mergeCell ref="A33:D33"/>
    <mergeCell ref="A1:D1"/>
    <mergeCell ref="A2:D2"/>
    <mergeCell ref="A3:D3"/>
    <mergeCell ref="A6:D6"/>
    <mergeCell ref="A11:D11"/>
    <mergeCell ref="A17:D17"/>
    <mergeCell ref="A25:D25"/>
  </mergeCells>
  <printOptions/>
  <pageMargins bottom="1.0" footer="0.0" header="0.0" left="0.75" right="0.75" top="1.0"/>
  <pageSetup orientation="portrait"/>
  <drawing r:id="rId1"/>
</worksheet>
</file>