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<sst xmlns="http://schemas.openxmlformats.org/spreadsheetml/2006/main" count="43" uniqueCount="42">
  <si>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</si>
  <si>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</si>
  <si>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</si>
  <si>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</si>
  <si>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</si>
  <si>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</si>
  <si>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</si>
  <si>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</si>
  <si>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</si>
  <si>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</si>
  <si>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ligia</t>
  </si>
  <si>
    <t>Customer Information</t>
  </si>
  <si>
    <t>Name:</t>
  </si>
  <si>
    <t>Phone:</t>
  </si>
  <si>
    <t>Address:</t>
  </si>
  <si>
    <t xml:space="preserve">175 shady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</si>
  <si>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</si>
  <si>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</si>
  <si>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</si>
  <si>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</si>
  <si>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</si>
  <si>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</si>
  <si>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</si>
  <si>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 xml:space="preserve">Bathroom floor Basic installation ( travertine </t>
  </si>
  <si>
    <t>carmem (mortar bed, curb, Basic Installation  travertine)</t>
  </si>
  <si>
    <t>master WALL ( Basic installation travertine )  add wall</t>
  </si>
  <si>
    <t>mosaic big backsplash( 14 sqft)</t>
  </si>
  <si>
    <t>workaround the window (mosaic)</t>
  </si>
  <si>
    <t>cement board installation ( waterproof  aplication free)</t>
  </si>
  <si>
    <t>bathtub face</t>
  </si>
  <si>
    <t>install corner shelf</t>
  </si>
  <si>
    <t>steps basic installation  (28.8 sqf)</t>
  </si>
  <si>
    <t xml:space="preserve">accessed point add $150 for each access. </t>
  </si>
  <si>
    <t>bench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</si>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</sst>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12" fillId="0" fontId="7" numFmtId="0" xfId="0" applyAlignment="1" applyBorder="1" applyFont="1">
      <alignment horizontal="right" readingOrder="0" shrinkToFit="0" vertical="bottom" wrapText="1"/>
    </xf>
    <xf borderId="12" fillId="0" fontId="7" numFmtId="0" xfId="0" applyAlignment="1" applyBorder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12" fillId="0" fontId="7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9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44634.0</v>
      </c>
    </row>
    <row r="3">
      <c r="A3" s="3" t="s">
        <v>4</v>
      </c>
      <c r="F3" s="4" t="s">
        <v>5</v>
      </c>
      <c r="H3" s="3">
        <v>2205.0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10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9"/>
      <c r="C15" s="9"/>
      <c r="D15" s="9"/>
      <c r="E15" s="10"/>
      <c r="F15" s="28">
        <v>103.0</v>
      </c>
      <c r="G15" s="28">
        <v>4.6</v>
      </c>
      <c r="H15" s="29">
        <f t="shared" ref="H15:H17" si="1">G15*F15</f>
        <v>473.8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ht="15.0" customHeight="1">
      <c r="A16" s="27" t="s">
        <v>24</v>
      </c>
      <c r="B16" s="9"/>
      <c r="C16" s="9"/>
      <c r="D16" s="9"/>
      <c r="E16" s="10"/>
      <c r="F16" s="28">
        <v>33.0</v>
      </c>
      <c r="G16" s="28">
        <v>20.0</v>
      </c>
      <c r="H16" s="29">
        <f t="shared" si="1"/>
        <v>660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>
      <c r="A17" s="27" t="s">
        <v>25</v>
      </c>
      <c r="B17" s="9"/>
      <c r="C17" s="9"/>
      <c r="D17" s="9"/>
      <c r="E17" s="10"/>
      <c r="F17" s="28">
        <v>136.0</v>
      </c>
      <c r="G17" s="28">
        <v>14.5</v>
      </c>
      <c r="H17" s="31">
        <f t="shared" si="1"/>
        <v>1972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15.0" customHeight="1">
      <c r="A18" s="32" t="s">
        <v>26</v>
      </c>
      <c r="E18" s="20"/>
      <c r="F18" s="33">
        <v>1.0</v>
      </c>
      <c r="G18" s="33">
        <v>280.0</v>
      </c>
      <c r="H18" s="33">
        <v>280.0</v>
      </c>
    </row>
    <row r="19" ht="15.0" customHeight="1">
      <c r="A19" s="32" t="s">
        <v>27</v>
      </c>
      <c r="E19" s="20"/>
      <c r="F19" s="33">
        <v>1.0</v>
      </c>
      <c r="G19" s="33">
        <v>30.0</v>
      </c>
      <c r="H19" s="33">
        <v>30.0</v>
      </c>
      <c r="I19" s="11"/>
    </row>
    <row r="20" ht="17.25" customHeight="1">
      <c r="A20" s="32" t="s">
        <v>28</v>
      </c>
      <c r="E20" s="20"/>
      <c r="F20" s="33">
        <v>194.0</v>
      </c>
      <c r="G20" s="33">
        <v>2.5</v>
      </c>
      <c r="H20" s="33">
        <f>G20*F20</f>
        <v>485</v>
      </c>
      <c r="I20" s="11"/>
    </row>
    <row r="21" ht="15.0" customHeight="1">
      <c r="A21" s="32" t="s">
        <v>29</v>
      </c>
      <c r="E21" s="20"/>
      <c r="F21" s="33">
        <v>15.0</v>
      </c>
      <c r="G21" s="33">
        <v>14.5</v>
      </c>
      <c r="H21" s="33">
        <f>F21*G21</f>
        <v>217.5</v>
      </c>
      <c r="I21" s="11"/>
    </row>
    <row r="22" ht="15.0" customHeight="1">
      <c r="A22" s="32" t="s">
        <v>30</v>
      </c>
      <c r="E22" s="20"/>
      <c r="F22" s="33">
        <v>2.0</v>
      </c>
      <c r="G22" s="33">
        <v>50.0</v>
      </c>
      <c r="H22" s="33">
        <v>100.0</v>
      </c>
      <c r="I22" s="11"/>
    </row>
    <row r="23" ht="15.0" customHeight="1">
      <c r="A23" s="32" t="s">
        <v>31</v>
      </c>
      <c r="E23" s="20"/>
      <c r="F23" s="33">
        <v>1.0</v>
      </c>
      <c r="G23" s="33">
        <v>550.0</v>
      </c>
      <c r="H23" s="33">
        <v>550.0</v>
      </c>
      <c r="I23" s="11"/>
    </row>
    <row r="24" ht="15.0" customHeight="1">
      <c r="A24" s="32" t="s">
        <v>32</v>
      </c>
      <c r="E24" s="20"/>
      <c r="F24" s="33">
        <v>2.0</v>
      </c>
      <c r="G24" s="33"/>
      <c r="H24" s="33">
        <v>300.0</v>
      </c>
      <c r="I24" s="11"/>
    </row>
    <row r="25" ht="15.0" customHeight="1">
      <c r="A25" s="32" t="s">
        <v>33</v>
      </c>
      <c r="E25" s="20"/>
      <c r="F25" s="33">
        <v>1.0</v>
      </c>
      <c r="G25" s="33"/>
      <c r="H25" s="33">
        <v>100.0</v>
      </c>
      <c r="I25" s="11"/>
    </row>
    <row r="26" ht="15.0" customHeight="1">
      <c r="A26" s="34"/>
      <c r="B26" s="7"/>
      <c r="C26" s="7"/>
      <c r="D26" s="7"/>
      <c r="E26" s="24"/>
      <c r="F26" s="35" t="s">
        <v>34</v>
      </c>
      <c r="G26" s="10"/>
      <c r="H26" s="36">
        <f>H15+H16+H17+H18+H19+H20+H21+H22+H23+H24+H25</f>
        <v>5168.3</v>
      </c>
      <c r="I26" s="11"/>
    </row>
    <row r="27">
      <c r="A27" s="14"/>
      <c r="B27" s="14"/>
      <c r="C27" s="14"/>
      <c r="D27" s="16"/>
      <c r="E27" s="37" t="s">
        <v>35</v>
      </c>
      <c r="F27" s="9"/>
      <c r="G27" s="38"/>
      <c r="H27" s="39"/>
      <c r="I27" s="11"/>
    </row>
    <row r="28">
      <c r="E28" s="40" t="s">
        <v>36</v>
      </c>
      <c r="F28" s="14"/>
      <c r="G28" s="14"/>
      <c r="H28" s="40">
        <f>H26-H27</f>
        <v>5168.3</v>
      </c>
    </row>
    <row r="29">
      <c r="A29" s="3" t="s">
        <v>37</v>
      </c>
    </row>
    <row r="30">
      <c r="A30" s="3" t="s">
        <v>38</v>
      </c>
    </row>
    <row r="31">
      <c r="A31" s="3" t="s">
        <v>39</v>
      </c>
    </row>
    <row r="33">
      <c r="A33" s="41" t="s">
        <v>40</v>
      </c>
    </row>
    <row r="34">
      <c r="A34" s="42" t="s">
        <v>41</v>
      </c>
    </row>
    <row r="35">
      <c r="A35" s="43"/>
    </row>
    <row r="42">
      <c r="E42">
        <f>1564+103+33+136</f>
        <v>1836</v>
      </c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6:G26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A24:E24"/>
    <mergeCell ref="A25:E25"/>
    <mergeCell ref="A26:E26"/>
  </mergeCells>
  <drawing r:id="rId1"/>
</worksheet>
</file>